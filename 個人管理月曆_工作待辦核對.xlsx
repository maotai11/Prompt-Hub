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首頁" sheetId="1" state="visible" r:id="rId1"/>
    <sheet xmlns:r="http://schemas.openxmlformats.org/officeDocument/2006/relationships" name="工作紀錄" sheetId="2" state="visible" r:id="rId2"/>
    <sheet xmlns:r="http://schemas.openxmlformats.org/officeDocument/2006/relationships" name="待辦事項" sheetId="3" state="visible" r:id="rId3"/>
    <sheet xmlns:r="http://schemas.openxmlformats.org/officeDocument/2006/relationships" name="核對清單" sheetId="4" state="visible" r:id="rId4"/>
  </sheets>
  <definedNames/>
  <calcPr calcId="124519" calcMode="auto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"/>
    <numFmt numFmtId="166" formatCode="hh:mm"/>
    <numFmt numFmtId="167" formatCode="0.0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0000FF"/>
    </font>
    <font>
      <color rgb="00666666"/>
    </font>
    <font>
      <color rgb="00008000"/>
    </font>
    <font>
      <b val="1"/>
      <color rgb="00FFFFFF"/>
    </font>
    <font>
      <b val="1"/>
      <color rgb="00008000"/>
    </font>
    <font>
      <color rgb="000000FF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1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6E6E6"/>
      </left>
      <right style="thin">
        <color rgb="00E6E6E6"/>
      </right>
      <top style="thin">
        <color rgb="00E6E6E6"/>
      </top>
      <bottom style="thin">
        <color rgb="00E6E6E6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2" fillId="0" borderId="0" pivotButton="0" quotePrefix="0" xfId="0"/>
    <xf numFmtId="164" fontId="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 wrapText="1"/>
    </xf>
    <xf numFmtId="165" fontId="0" fillId="5" borderId="2" applyAlignment="1" pivotButton="0" quotePrefix="0" xfId="0">
      <alignment horizontal="left" vertical="top" wrapText="1"/>
    </xf>
    <xf numFmtId="165" fontId="0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vertical="center"/>
    </xf>
    <xf numFmtId="0" fontId="7" fillId="6" borderId="2" applyAlignment="1" pivotButton="0" quotePrefix="0" xfId="0">
      <alignment horizontal="center" vertical="center"/>
    </xf>
    <xf numFmtId="0" fontId="0" fillId="0" borderId="2" pivotButton="0" quotePrefix="0" xfId="0"/>
    <xf numFmtId="0" fontId="2" fillId="0" borderId="2" applyAlignment="1" pivotButton="0" quotePrefix="0" xfId="0">
      <alignment vertical="top"/>
    </xf>
    <xf numFmtId="0" fontId="8" fillId="3" borderId="2" applyAlignment="1" pivotButton="0" quotePrefix="0" xfId="0">
      <alignment vertical="top" wrapText="1"/>
    </xf>
    <xf numFmtId="0" fontId="7" fillId="6" borderId="0" applyAlignment="1" pivotButton="0" quotePrefix="0" xfId="0">
      <alignment horizontal="center"/>
    </xf>
    <xf numFmtId="2" fontId="2" fillId="0" borderId="0" pivotButton="0" quotePrefix="0" xfId="0"/>
    <xf numFmtId="164" fontId="0" fillId="0" borderId="3" applyAlignment="1" pivotButton="0" quotePrefix="0" xfId="0">
      <alignment vertical="top" wrapText="1"/>
    </xf>
    <xf numFmtId="166" fontId="0" fillId="0" borderId="3" applyAlignment="1" pivotButton="0" quotePrefix="0" xfId="0">
      <alignment vertical="top" wrapText="1"/>
    </xf>
    <xf numFmtId="2" fontId="0" fillId="0" borderId="3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2" fillId="0" borderId="3" applyAlignment="1" pivotButton="0" quotePrefix="0" xfId="0">
      <alignment vertical="top" wrapText="1"/>
    </xf>
    <xf numFmtId="2" fontId="2" fillId="0" borderId="3" applyAlignment="1" pivotButton="0" quotePrefix="0" xfId="0">
      <alignment vertical="top" wrapText="1"/>
    </xf>
    <xf numFmtId="167" fontId="0" fillId="0" borderId="3" applyAlignment="1" pivotButton="0" quotePrefix="0" xfId="0">
      <alignment vertical="top" wrapText="1"/>
    </xf>
    <xf numFmtId="1" fontId="0" fillId="0" borderId="3" applyAlignment="1" pivotButton="0" quotePrefix="0" xfId="0">
      <alignment vertical="top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/>
  </cellStyles>
  <dxfs count="3">
    <dxf>
      <font>
        <b val="1"/>
        <color rgb="00006100"/>
      </font>
      <fill>
        <patternFill>
          <bgColor rgb="00C6EFCE"/>
        </patternFill>
      </fill>
    </dxf>
    <dxf>
      <font>
        <color rgb="009C0006"/>
      </font>
      <fill>
        <patternFill>
          <bgColor rgb="00FFC7CE"/>
        </patternFill>
      </fill>
    </dxf>
    <dxf>
      <fill>
        <patternFill>
          <bgColor rgb="00E7E6E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 ht="28" customHeight="1">
      <c r="A1" s="1" t="inlineStr">
        <is>
          <t>首頁｜月曆與總覽</t>
        </is>
      </c>
    </row>
    <row r="2" ht="20" customHeight="1">
      <c r="A2" s="2" t="inlineStr">
        <is>
          <t>年份</t>
        </is>
      </c>
      <c r="B2" s="3" t="n">
        <v>2026</v>
      </c>
      <c r="C2" s="2" t="inlineStr">
        <is>
          <t>月份</t>
        </is>
      </c>
      <c r="D2" s="3" t="n">
        <v>1</v>
      </c>
      <c r="E2" s="2" t="inlineStr">
        <is>
          <t>提示</t>
        </is>
      </c>
      <c r="F2" s="4" t="inlineStr">
        <is>
          <t>可用下拉選擇月份／年份，月曆會自動更新（不需巨集/VBA）</t>
        </is>
      </c>
    </row>
    <row r="3" ht="18" customHeight="1">
      <c r="A3" s="5" t="inlineStr">
        <is>
          <t>本月開始</t>
        </is>
      </c>
      <c r="B3" s="6">
        <f>DATE($B$2,$D$2,1)</f>
        <v/>
      </c>
      <c r="E3" s="5" t="inlineStr">
        <is>
          <t>顯示</t>
        </is>
      </c>
      <c r="F3" s="7">
        <f>TEXT(DATE($B$2,$D$2,1),"yyyy年m月")</f>
        <v/>
      </c>
    </row>
    <row r="4" ht="18" customHeight="1">
      <c r="A4" s="5" t="inlineStr">
        <is>
          <t>本月結束</t>
        </is>
      </c>
      <c r="B4" s="6">
        <f>EOMONTH($B$3,0)</f>
        <v/>
      </c>
    </row>
    <row r="5" ht="18" customHeight="1">
      <c r="A5" s="8" t="inlineStr">
        <is>
          <t>日</t>
        </is>
      </c>
      <c r="B5" s="8" t="inlineStr">
        <is>
          <t>一</t>
        </is>
      </c>
      <c r="C5" s="8" t="inlineStr">
        <is>
          <t>二</t>
        </is>
      </c>
      <c r="D5" s="8" t="inlineStr">
        <is>
          <t>三</t>
        </is>
      </c>
      <c r="E5" s="8" t="inlineStr">
        <is>
          <t>四</t>
        </is>
      </c>
      <c r="F5" s="8" t="inlineStr">
        <is>
          <t>五</t>
        </is>
      </c>
      <c r="G5" s="8" t="inlineStr">
        <is>
          <t>六</t>
        </is>
      </c>
      <c r="I5" s="8" t="inlineStr">
        <is>
          <t>總覽</t>
        </is>
      </c>
      <c r="J5" s="26" t="n"/>
      <c r="K5" s="26" t="n"/>
      <c r="L5" s="27" t="n"/>
    </row>
    <row r="6" ht="45" customHeight="1">
      <c r="A6" s="9">
        <f>IF(MONTH(DATE($B$2,$D$2,(0-WEEKDAY(DATE($B$2,$D$2,1),1)+2)))=$D$2,DATE($B$2,$D$2,(0-WEEKDAY(DATE($B$2,$D$2,1),1)+2)),"")</f>
        <v/>
      </c>
      <c r="B6" s="10">
        <f>IF(MONTH(DATE($B$2,$D$2,(1-WEEKDAY(DATE($B$2,$D$2,1),1)+2)))=$D$2,DATE($B$2,$D$2,(1-WEEKDAY(DATE($B$2,$D$2,1),1)+2)),"")</f>
        <v/>
      </c>
      <c r="C6" s="10">
        <f>IF(MONTH(DATE($B$2,$D$2,(2-WEEKDAY(DATE($B$2,$D$2,1),1)+2)))=$D$2,DATE($B$2,$D$2,(2-WEEKDAY(DATE($B$2,$D$2,1),1)+2)),"")</f>
        <v/>
      </c>
      <c r="D6" s="10">
        <f>IF(MONTH(DATE($B$2,$D$2,(3-WEEKDAY(DATE($B$2,$D$2,1),1)+2)))=$D$2,DATE($B$2,$D$2,(3-WEEKDAY(DATE($B$2,$D$2,1),1)+2)),"")</f>
        <v/>
      </c>
      <c r="E6" s="10">
        <f>IF(MONTH(DATE($B$2,$D$2,(4-WEEKDAY(DATE($B$2,$D$2,1),1)+2)))=$D$2,DATE($B$2,$D$2,(4-WEEKDAY(DATE($B$2,$D$2,1),1)+2)),"")</f>
        <v/>
      </c>
      <c r="F6" s="10">
        <f>IF(MONTH(DATE($B$2,$D$2,(5-WEEKDAY(DATE($B$2,$D$2,1),1)+2)))=$D$2,DATE($B$2,$D$2,(5-WEEKDAY(DATE($B$2,$D$2,1),1)+2)),"")</f>
        <v/>
      </c>
      <c r="G6" s="9">
        <f>IF(MONTH(DATE($B$2,$D$2,(6-WEEKDAY(DATE($B$2,$D$2,1),1)+2)))=$D$2,DATE($B$2,$D$2,(6-WEEKDAY(DATE($B$2,$D$2,1),1)+2)),"")</f>
        <v/>
      </c>
      <c r="I6" s="11" t="inlineStr">
        <is>
          <t>本月工作時數</t>
        </is>
      </c>
      <c r="J6" s="12">
        <f>工作紀錄!$B$3</f>
        <v/>
      </c>
      <c r="K6" s="28" t="n"/>
      <c r="L6" s="29" t="n"/>
    </row>
    <row r="7" ht="45" customHeight="1">
      <c r="A7" s="9">
        <f>IF(MONTH(DATE($B$2,$D$2,(7-WEEKDAY(DATE($B$2,$D$2,1),1)+2)))=$D$2,DATE($B$2,$D$2,(7-WEEKDAY(DATE($B$2,$D$2,1),1)+2)),"")</f>
        <v/>
      </c>
      <c r="B7" s="10">
        <f>IF(MONTH(DATE($B$2,$D$2,(8-WEEKDAY(DATE($B$2,$D$2,1),1)+2)))=$D$2,DATE($B$2,$D$2,(8-WEEKDAY(DATE($B$2,$D$2,1),1)+2)),"")</f>
        <v/>
      </c>
      <c r="C7" s="10">
        <f>IF(MONTH(DATE($B$2,$D$2,(9-WEEKDAY(DATE($B$2,$D$2,1),1)+2)))=$D$2,DATE($B$2,$D$2,(9-WEEKDAY(DATE($B$2,$D$2,1),1)+2)),"")</f>
        <v/>
      </c>
      <c r="D7" s="10">
        <f>IF(MONTH(DATE($B$2,$D$2,(10-WEEKDAY(DATE($B$2,$D$2,1),1)+2)))=$D$2,DATE($B$2,$D$2,(10-WEEKDAY(DATE($B$2,$D$2,1),1)+2)),"")</f>
        <v/>
      </c>
      <c r="E7" s="10">
        <f>IF(MONTH(DATE($B$2,$D$2,(11-WEEKDAY(DATE($B$2,$D$2,1),1)+2)))=$D$2,DATE($B$2,$D$2,(11-WEEKDAY(DATE($B$2,$D$2,1),1)+2)),"")</f>
        <v/>
      </c>
      <c r="F7" s="10">
        <f>IF(MONTH(DATE($B$2,$D$2,(12-WEEKDAY(DATE($B$2,$D$2,1),1)+2)))=$D$2,DATE($B$2,$D$2,(12-WEEKDAY(DATE($B$2,$D$2,1),1)+2)),"")</f>
        <v/>
      </c>
      <c r="G7" s="9">
        <f>IF(MONTH(DATE($B$2,$D$2,(13-WEEKDAY(DATE($B$2,$D$2,1),1)+2)))=$D$2,DATE($B$2,$D$2,(13-WEEKDAY(DATE($B$2,$D$2,1),1)+2)),"")</f>
        <v/>
      </c>
      <c r="I7" s="11" t="inlineStr">
        <is>
          <t>未完成待辦</t>
        </is>
      </c>
      <c r="J7" s="12">
        <f>待辦事項!$B$2</f>
        <v/>
      </c>
      <c r="K7" s="28" t="n"/>
      <c r="L7" s="29" t="n"/>
    </row>
    <row r="8" ht="45" customHeight="1">
      <c r="A8" s="9">
        <f>IF(MONTH(DATE($B$2,$D$2,(14-WEEKDAY(DATE($B$2,$D$2,1),1)+2)))=$D$2,DATE($B$2,$D$2,(14-WEEKDAY(DATE($B$2,$D$2,1),1)+2)),"")</f>
        <v/>
      </c>
      <c r="B8" s="10">
        <f>IF(MONTH(DATE($B$2,$D$2,(15-WEEKDAY(DATE($B$2,$D$2,1),1)+2)))=$D$2,DATE($B$2,$D$2,(15-WEEKDAY(DATE($B$2,$D$2,1),1)+2)),"")</f>
        <v/>
      </c>
      <c r="C8" s="10">
        <f>IF(MONTH(DATE($B$2,$D$2,(16-WEEKDAY(DATE($B$2,$D$2,1),1)+2)))=$D$2,DATE($B$2,$D$2,(16-WEEKDAY(DATE($B$2,$D$2,1),1)+2)),"")</f>
        <v/>
      </c>
      <c r="D8" s="10">
        <f>IF(MONTH(DATE($B$2,$D$2,(17-WEEKDAY(DATE($B$2,$D$2,1),1)+2)))=$D$2,DATE($B$2,$D$2,(17-WEEKDAY(DATE($B$2,$D$2,1),1)+2)),"")</f>
        <v/>
      </c>
      <c r="E8" s="10">
        <f>IF(MONTH(DATE($B$2,$D$2,(18-WEEKDAY(DATE($B$2,$D$2,1),1)+2)))=$D$2,DATE($B$2,$D$2,(18-WEEKDAY(DATE($B$2,$D$2,1),1)+2)),"")</f>
        <v/>
      </c>
      <c r="F8" s="10">
        <f>IF(MONTH(DATE($B$2,$D$2,(19-WEEKDAY(DATE($B$2,$D$2,1),1)+2)))=$D$2,DATE($B$2,$D$2,(19-WEEKDAY(DATE($B$2,$D$2,1),1)+2)),"")</f>
        <v/>
      </c>
      <c r="G8" s="9">
        <f>IF(MONTH(DATE($B$2,$D$2,(20-WEEKDAY(DATE($B$2,$D$2,1),1)+2)))=$D$2,DATE($B$2,$D$2,(20-WEEKDAY(DATE($B$2,$D$2,1),1)+2)),"")</f>
        <v/>
      </c>
      <c r="I8" s="11" t="inlineStr">
        <is>
          <t>逾期待辦</t>
        </is>
      </c>
      <c r="J8" s="12">
        <f>待辦事項!$B$3</f>
        <v/>
      </c>
      <c r="K8" s="28" t="n"/>
      <c r="L8" s="29" t="n"/>
    </row>
    <row r="9" ht="45" customHeight="1">
      <c r="A9" s="9">
        <f>IF(MONTH(DATE($B$2,$D$2,(21-WEEKDAY(DATE($B$2,$D$2,1),1)+2)))=$D$2,DATE($B$2,$D$2,(21-WEEKDAY(DATE($B$2,$D$2,1),1)+2)),"")</f>
        <v/>
      </c>
      <c r="B9" s="10">
        <f>IF(MONTH(DATE($B$2,$D$2,(22-WEEKDAY(DATE($B$2,$D$2,1),1)+2)))=$D$2,DATE($B$2,$D$2,(22-WEEKDAY(DATE($B$2,$D$2,1),1)+2)),"")</f>
        <v/>
      </c>
      <c r="C9" s="10">
        <f>IF(MONTH(DATE($B$2,$D$2,(23-WEEKDAY(DATE($B$2,$D$2,1),1)+2)))=$D$2,DATE($B$2,$D$2,(23-WEEKDAY(DATE($B$2,$D$2,1),1)+2)),"")</f>
        <v/>
      </c>
      <c r="D9" s="10">
        <f>IF(MONTH(DATE($B$2,$D$2,(24-WEEKDAY(DATE($B$2,$D$2,1),1)+2)))=$D$2,DATE($B$2,$D$2,(24-WEEKDAY(DATE($B$2,$D$2,1),1)+2)),"")</f>
        <v/>
      </c>
      <c r="E9" s="10">
        <f>IF(MONTH(DATE($B$2,$D$2,(25-WEEKDAY(DATE($B$2,$D$2,1),1)+2)))=$D$2,DATE($B$2,$D$2,(25-WEEKDAY(DATE($B$2,$D$2,1),1)+2)),"")</f>
        <v/>
      </c>
      <c r="F9" s="10">
        <f>IF(MONTH(DATE($B$2,$D$2,(26-WEEKDAY(DATE($B$2,$D$2,1),1)+2)))=$D$2,DATE($B$2,$D$2,(26-WEEKDAY(DATE($B$2,$D$2,1),1)+2)),"")</f>
        <v/>
      </c>
      <c r="G9" s="9">
        <f>IF(MONTH(DATE($B$2,$D$2,(27-WEEKDAY(DATE($B$2,$D$2,1),1)+2)))=$D$2,DATE($B$2,$D$2,(27-WEEKDAY(DATE($B$2,$D$2,1),1)+2)),"")</f>
        <v/>
      </c>
      <c r="I9" s="11" t="inlineStr">
        <is>
          <t>7天內到期</t>
        </is>
      </c>
      <c r="J9" s="12">
        <f>待辦事項!$B$4</f>
        <v/>
      </c>
      <c r="K9" s="28" t="n"/>
      <c r="L9" s="29" t="n"/>
    </row>
    <row r="10" ht="45" customHeight="1">
      <c r="A10" s="9">
        <f>IF(MONTH(DATE($B$2,$D$2,(28-WEEKDAY(DATE($B$2,$D$2,1),1)+2)))=$D$2,DATE($B$2,$D$2,(28-WEEKDAY(DATE($B$2,$D$2,1),1)+2)),"")</f>
        <v/>
      </c>
      <c r="B10" s="10">
        <f>IF(MONTH(DATE($B$2,$D$2,(29-WEEKDAY(DATE($B$2,$D$2,1),1)+2)))=$D$2,DATE($B$2,$D$2,(29-WEEKDAY(DATE($B$2,$D$2,1),1)+2)),"")</f>
        <v/>
      </c>
      <c r="C10" s="10">
        <f>IF(MONTH(DATE($B$2,$D$2,(30-WEEKDAY(DATE($B$2,$D$2,1),1)+2)))=$D$2,DATE($B$2,$D$2,(30-WEEKDAY(DATE($B$2,$D$2,1),1)+2)),"")</f>
        <v/>
      </c>
      <c r="D10" s="10">
        <f>IF(MONTH(DATE($B$2,$D$2,(31-WEEKDAY(DATE($B$2,$D$2,1),1)+2)))=$D$2,DATE($B$2,$D$2,(31-WEEKDAY(DATE($B$2,$D$2,1),1)+2)),"")</f>
        <v/>
      </c>
      <c r="E10" s="10">
        <f>IF(MONTH(DATE($B$2,$D$2,(32-WEEKDAY(DATE($B$2,$D$2,1),1)+2)))=$D$2,DATE($B$2,$D$2,(32-WEEKDAY(DATE($B$2,$D$2,1),1)+2)),"")</f>
        <v/>
      </c>
      <c r="F10" s="10">
        <f>IF(MONTH(DATE($B$2,$D$2,(33-WEEKDAY(DATE($B$2,$D$2,1),1)+2)))=$D$2,DATE($B$2,$D$2,(33-WEEKDAY(DATE($B$2,$D$2,1),1)+2)),"")</f>
        <v/>
      </c>
      <c r="G10" s="9">
        <f>IF(MONTH(DATE($B$2,$D$2,(34-WEEKDAY(DATE($B$2,$D$2,1),1)+2)))=$D$2,DATE($B$2,$D$2,(34-WEEKDAY(DATE($B$2,$D$2,1),1)+2)),"")</f>
        <v/>
      </c>
      <c r="I10" s="11" t="inlineStr">
        <is>
          <t>核對逾期</t>
        </is>
      </c>
      <c r="J10" s="12">
        <f>核對清單!$B$2</f>
        <v/>
      </c>
      <c r="K10" s="28" t="n"/>
      <c r="L10" s="29" t="n"/>
    </row>
    <row r="11" ht="45" customHeight="1">
      <c r="A11" s="9">
        <f>IF(MONTH(DATE($B$2,$D$2,(35-WEEKDAY(DATE($B$2,$D$2,1),1)+2)))=$D$2,DATE($B$2,$D$2,(35-WEEKDAY(DATE($B$2,$D$2,1),1)+2)),"")</f>
        <v/>
      </c>
      <c r="B11" s="10">
        <f>IF(MONTH(DATE($B$2,$D$2,(36-WEEKDAY(DATE($B$2,$D$2,1),1)+2)))=$D$2,DATE($B$2,$D$2,(36-WEEKDAY(DATE($B$2,$D$2,1),1)+2)),"")</f>
        <v/>
      </c>
      <c r="C11" s="10">
        <f>IF(MONTH(DATE($B$2,$D$2,(37-WEEKDAY(DATE($B$2,$D$2,1),1)+2)))=$D$2,DATE($B$2,$D$2,(37-WEEKDAY(DATE($B$2,$D$2,1),1)+2)),"")</f>
        <v/>
      </c>
      <c r="D11" s="10">
        <f>IF(MONTH(DATE($B$2,$D$2,(38-WEEKDAY(DATE($B$2,$D$2,1),1)+2)))=$D$2,DATE($B$2,$D$2,(38-WEEKDAY(DATE($B$2,$D$2,1),1)+2)),"")</f>
        <v/>
      </c>
      <c r="E11" s="10">
        <f>IF(MONTH(DATE($B$2,$D$2,(39-WEEKDAY(DATE($B$2,$D$2,1),1)+2)))=$D$2,DATE($B$2,$D$2,(39-WEEKDAY(DATE($B$2,$D$2,1),1)+2)),"")</f>
        <v/>
      </c>
      <c r="F11" s="10">
        <f>IF(MONTH(DATE($B$2,$D$2,(40-WEEKDAY(DATE($B$2,$D$2,1),1)+2)))=$D$2,DATE($B$2,$D$2,(40-WEEKDAY(DATE($B$2,$D$2,1),1)+2)),"")</f>
        <v/>
      </c>
      <c r="G11" s="9">
        <f>IF(MONTH(DATE($B$2,$D$2,(41-WEEKDAY(DATE($B$2,$D$2,1),1)+2)))=$D$2,DATE($B$2,$D$2,(41-WEEKDAY(DATE($B$2,$D$2,1),1)+2)),"")</f>
        <v/>
      </c>
      <c r="I11" s="14" t="inlineStr">
        <is>
          <t>備註</t>
        </is>
      </c>
      <c r="J11" s="15" t="inlineStr">
        <is>
          <t>（可輸入當月重點）</t>
        </is>
      </c>
      <c r="K11" s="28" t="n"/>
      <c r="L11" s="29" t="n"/>
    </row>
  </sheetData>
  <mergeCells count="10">
    <mergeCell ref="J7:L7"/>
    <mergeCell ref="J6:L6"/>
    <mergeCell ref="J10:L10"/>
    <mergeCell ref="A1:L1"/>
    <mergeCell ref="F3:L3"/>
    <mergeCell ref="F2:L2"/>
    <mergeCell ref="J8:L8"/>
    <mergeCell ref="J11:L11"/>
    <mergeCell ref="J9:L9"/>
    <mergeCell ref="I5:L5"/>
  </mergeCells>
  <conditionalFormatting sqref="A6:G11">
    <cfRule type="expression" priority="1" dxfId="0">
      <formula>A6=TODAY()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0" customWidth="1" min="5" max="5"/>
    <col width="38" customWidth="1" min="6" max="6"/>
    <col width="26" customWidth="1" min="7" max="7"/>
  </cols>
  <sheetData>
    <row r="1" ht="28" customHeight="1">
      <c r="A1" s="1" t="inlineStr">
        <is>
          <t>工作紀錄</t>
        </is>
      </c>
    </row>
    <row r="2">
      <c r="A2" s="5" t="inlineStr">
        <is>
          <t>統計年份</t>
        </is>
      </c>
      <c r="B2" s="16">
        <f>首頁!$B$2</f>
        <v/>
      </c>
      <c r="C2" s="5" t="inlineStr">
        <is>
          <t>統計月份</t>
        </is>
      </c>
      <c r="D2" s="16">
        <f>首頁!$D$2</f>
        <v/>
      </c>
    </row>
    <row r="3">
      <c r="A3" s="5" t="inlineStr">
        <is>
          <t>本月總時數</t>
        </is>
      </c>
      <c r="B3" s="17">
        <f>SUMIFS($D$6:$D$505,$A$6:$A$505,"&gt;="&amp;DATE($B$2,$D$2,1),$A$6:$A$505,"&lt;"&amp;EDATE(DATE($B$2,$D$2,1),1))</f>
        <v/>
      </c>
      <c r="D3" s="5" t="inlineStr">
        <is>
          <t>本月筆數</t>
        </is>
      </c>
      <c r="E3" s="5">
        <f>COUNTIFS($A$6:$A$505,"&gt;="&amp;DATE($B$2,$D$2,1),$A$6:$A$505,"&lt;"&amp;EDATE(DATE($B$2,$D$2,1),1),$F$6:$F$505,"&lt;&gt;")</f>
        <v/>
      </c>
    </row>
    <row r="5" ht="22" customHeight="1">
      <c r="A5" s="8" t="inlineStr">
        <is>
          <t>日期</t>
        </is>
      </c>
      <c r="B5" s="8" t="inlineStr">
        <is>
          <t>開始</t>
        </is>
      </c>
      <c r="C5" s="8" t="inlineStr">
        <is>
          <t>結束</t>
        </is>
      </c>
      <c r="D5" s="8" t="inlineStr">
        <is>
          <t>時數(自動)</t>
        </is>
      </c>
      <c r="E5" s="8" t="inlineStr">
        <is>
          <t>類別</t>
        </is>
      </c>
      <c r="F5" s="8" t="inlineStr">
        <is>
          <t>工作內容</t>
        </is>
      </c>
      <c r="G5" s="8" t="inlineStr">
        <is>
          <t>備註</t>
        </is>
      </c>
    </row>
    <row r="6">
      <c r="A6" s="18" t="n"/>
      <c r="B6" s="19" t="n"/>
      <c r="C6" s="19" t="n"/>
      <c r="D6" s="20">
        <f>IF(OR(B6="",C6=""),"",(C6-B6)*24)</f>
        <v/>
      </c>
      <c r="E6" s="21" t="n"/>
      <c r="F6" s="21" t="n"/>
      <c r="G6" s="21" t="n"/>
    </row>
    <row r="7">
      <c r="A7" s="18" t="n"/>
      <c r="B7" s="19" t="n"/>
      <c r="C7" s="19" t="n"/>
      <c r="D7" s="20">
        <f>IF(OR(B7="",C7=""),"",(C7-B7)*24)</f>
        <v/>
      </c>
      <c r="E7" s="21" t="n"/>
      <c r="F7" s="21" t="n"/>
      <c r="G7" s="21" t="n"/>
    </row>
    <row r="8">
      <c r="A8" s="18" t="n"/>
      <c r="B8" s="19" t="n"/>
      <c r="C8" s="19" t="n"/>
      <c r="D8" s="20">
        <f>IF(OR(B8="",C8=""),"",(C8-B8)*24)</f>
        <v/>
      </c>
      <c r="E8" s="21" t="n"/>
      <c r="F8" s="21" t="n"/>
      <c r="G8" s="21" t="n"/>
    </row>
    <row r="9">
      <c r="A9" s="18" t="n"/>
      <c r="B9" s="19" t="n"/>
      <c r="C9" s="19" t="n"/>
      <c r="D9" s="20">
        <f>IF(OR(B9="",C9=""),"",(C9-B9)*24)</f>
        <v/>
      </c>
      <c r="E9" s="21" t="n"/>
      <c r="F9" s="21" t="n"/>
      <c r="G9" s="21" t="n"/>
    </row>
    <row r="10">
      <c r="A10" s="18" t="n"/>
      <c r="B10" s="19" t="n"/>
      <c r="C10" s="19" t="n"/>
      <c r="D10" s="20">
        <f>IF(OR(B10="",C10=""),"",(C10-B10)*24)</f>
        <v/>
      </c>
      <c r="E10" s="21" t="n"/>
      <c r="F10" s="21" t="n"/>
      <c r="G10" s="21" t="n"/>
    </row>
    <row r="11">
      <c r="A11" s="18" t="n"/>
      <c r="B11" s="19" t="n"/>
      <c r="C11" s="19" t="n"/>
      <c r="D11" s="20">
        <f>IF(OR(B11="",C11=""),"",(C11-B11)*24)</f>
        <v/>
      </c>
      <c r="E11" s="21" t="n"/>
      <c r="F11" s="21" t="n"/>
      <c r="G11" s="21" t="n"/>
    </row>
    <row r="12">
      <c r="A12" s="18" t="n"/>
      <c r="B12" s="19" t="n"/>
      <c r="C12" s="19" t="n"/>
      <c r="D12" s="20">
        <f>IF(OR(B12="",C12=""),"",(C12-B12)*24)</f>
        <v/>
      </c>
      <c r="E12" s="21" t="n"/>
      <c r="F12" s="21" t="n"/>
      <c r="G12" s="21" t="n"/>
    </row>
    <row r="13">
      <c r="A13" s="18" t="n"/>
      <c r="B13" s="19" t="n"/>
      <c r="C13" s="19" t="n"/>
      <c r="D13" s="20">
        <f>IF(OR(B13="",C13=""),"",(C13-B13)*24)</f>
        <v/>
      </c>
      <c r="E13" s="21" t="n"/>
      <c r="F13" s="21" t="n"/>
      <c r="G13" s="21" t="n"/>
    </row>
    <row r="14">
      <c r="A14" s="18" t="n"/>
      <c r="B14" s="19" t="n"/>
      <c r="C14" s="19" t="n"/>
      <c r="D14" s="20">
        <f>IF(OR(B14="",C14=""),"",(C14-B14)*24)</f>
        <v/>
      </c>
      <c r="E14" s="21" t="n"/>
      <c r="F14" s="21" t="n"/>
      <c r="G14" s="21" t="n"/>
    </row>
    <row r="15">
      <c r="A15" s="18" t="n"/>
      <c r="B15" s="19" t="n"/>
      <c r="C15" s="19" t="n"/>
      <c r="D15" s="20">
        <f>IF(OR(B15="",C15=""),"",(C15-B15)*24)</f>
        <v/>
      </c>
      <c r="E15" s="21" t="n"/>
      <c r="F15" s="21" t="n"/>
      <c r="G15" s="21" t="n"/>
    </row>
    <row r="16">
      <c r="A16" s="18" t="n"/>
      <c r="B16" s="19" t="n"/>
      <c r="C16" s="19" t="n"/>
      <c r="D16" s="20">
        <f>IF(OR(B16="",C16=""),"",(C16-B16)*24)</f>
        <v/>
      </c>
      <c r="E16" s="21" t="n"/>
      <c r="F16" s="21" t="n"/>
      <c r="G16" s="21" t="n"/>
    </row>
    <row r="17">
      <c r="A17" s="18" t="n"/>
      <c r="B17" s="19" t="n"/>
      <c r="C17" s="19" t="n"/>
      <c r="D17" s="20">
        <f>IF(OR(B17="",C17=""),"",(C17-B17)*24)</f>
        <v/>
      </c>
      <c r="E17" s="21" t="n"/>
      <c r="F17" s="21" t="n"/>
      <c r="G17" s="21" t="n"/>
    </row>
    <row r="18">
      <c r="A18" s="18" t="n"/>
      <c r="B18" s="19" t="n"/>
      <c r="C18" s="19" t="n"/>
      <c r="D18" s="20">
        <f>IF(OR(B18="",C18=""),"",(C18-B18)*24)</f>
        <v/>
      </c>
      <c r="E18" s="21" t="n"/>
      <c r="F18" s="21" t="n"/>
      <c r="G18" s="21" t="n"/>
    </row>
    <row r="19">
      <c r="A19" s="18" t="n"/>
      <c r="B19" s="19" t="n"/>
      <c r="C19" s="19" t="n"/>
      <c r="D19" s="20">
        <f>IF(OR(B19="",C19=""),"",(C19-B19)*24)</f>
        <v/>
      </c>
      <c r="E19" s="21" t="n"/>
      <c r="F19" s="21" t="n"/>
      <c r="G19" s="21" t="n"/>
    </row>
    <row r="20">
      <c r="A20" s="18" t="n"/>
      <c r="B20" s="19" t="n"/>
      <c r="C20" s="19" t="n"/>
      <c r="D20" s="20">
        <f>IF(OR(B20="",C20=""),"",(C20-B20)*24)</f>
        <v/>
      </c>
      <c r="E20" s="21" t="n"/>
      <c r="F20" s="21" t="n"/>
      <c r="G20" s="21" t="n"/>
    </row>
    <row r="21">
      <c r="A21" s="18" t="n"/>
      <c r="B21" s="19" t="n"/>
      <c r="C21" s="19" t="n"/>
      <c r="D21" s="20">
        <f>IF(OR(B21="",C21=""),"",(C21-B21)*24)</f>
        <v/>
      </c>
      <c r="E21" s="21" t="n"/>
      <c r="F21" s="21" t="n"/>
      <c r="G21" s="21" t="n"/>
    </row>
    <row r="22">
      <c r="A22" s="18" t="n"/>
      <c r="B22" s="19" t="n"/>
      <c r="C22" s="19" t="n"/>
      <c r="D22" s="20">
        <f>IF(OR(B22="",C22=""),"",(C22-B22)*24)</f>
        <v/>
      </c>
      <c r="E22" s="21" t="n"/>
      <c r="F22" s="21" t="n"/>
      <c r="G22" s="21" t="n"/>
    </row>
    <row r="23">
      <c r="A23" s="18" t="n"/>
      <c r="B23" s="19" t="n"/>
      <c r="C23" s="19" t="n"/>
      <c r="D23" s="20">
        <f>IF(OR(B23="",C23=""),"",(C23-B23)*24)</f>
        <v/>
      </c>
      <c r="E23" s="21" t="n"/>
      <c r="F23" s="21" t="n"/>
      <c r="G23" s="21" t="n"/>
    </row>
    <row r="24">
      <c r="A24" s="18" t="n"/>
      <c r="B24" s="19" t="n"/>
      <c r="C24" s="19" t="n"/>
      <c r="D24" s="20">
        <f>IF(OR(B24="",C24=""),"",(C24-B24)*24)</f>
        <v/>
      </c>
      <c r="E24" s="21" t="n"/>
      <c r="F24" s="21" t="n"/>
      <c r="G24" s="21" t="n"/>
    </row>
    <row r="25">
      <c r="A25" s="18" t="n"/>
      <c r="B25" s="19" t="n"/>
      <c r="C25" s="19" t="n"/>
      <c r="D25" s="20">
        <f>IF(OR(B25="",C25=""),"",(C25-B25)*24)</f>
        <v/>
      </c>
      <c r="E25" s="21" t="n"/>
      <c r="F25" s="21" t="n"/>
      <c r="G25" s="21" t="n"/>
    </row>
    <row r="26">
      <c r="A26" s="18" t="n"/>
      <c r="B26" s="19" t="n"/>
      <c r="C26" s="19" t="n"/>
      <c r="D26" s="20">
        <f>IF(OR(B26="",C26=""),"",(C26-B26)*24)</f>
        <v/>
      </c>
      <c r="E26" s="21" t="n"/>
      <c r="F26" s="21" t="n"/>
      <c r="G26" s="21" t="n"/>
    </row>
    <row r="27">
      <c r="A27" s="18" t="n"/>
      <c r="B27" s="19" t="n"/>
      <c r="C27" s="19" t="n"/>
      <c r="D27" s="20">
        <f>IF(OR(B27="",C27=""),"",(C27-B27)*24)</f>
        <v/>
      </c>
      <c r="E27" s="21" t="n"/>
      <c r="F27" s="21" t="n"/>
      <c r="G27" s="21" t="n"/>
    </row>
    <row r="28">
      <c r="A28" s="18" t="n"/>
      <c r="B28" s="19" t="n"/>
      <c r="C28" s="19" t="n"/>
      <c r="D28" s="20">
        <f>IF(OR(B28="",C28=""),"",(C28-B28)*24)</f>
        <v/>
      </c>
      <c r="E28" s="21" t="n"/>
      <c r="F28" s="21" t="n"/>
      <c r="G28" s="21" t="n"/>
    </row>
    <row r="29">
      <c r="A29" s="18" t="n"/>
      <c r="B29" s="19" t="n"/>
      <c r="C29" s="19" t="n"/>
      <c r="D29" s="20">
        <f>IF(OR(B29="",C29=""),"",(C29-B29)*24)</f>
        <v/>
      </c>
      <c r="E29" s="21" t="n"/>
      <c r="F29" s="21" t="n"/>
      <c r="G29" s="21" t="n"/>
    </row>
    <row r="30">
      <c r="A30" s="18" t="n"/>
      <c r="B30" s="19" t="n"/>
      <c r="C30" s="19" t="n"/>
      <c r="D30" s="20">
        <f>IF(OR(B30="",C30=""),"",(C30-B30)*24)</f>
        <v/>
      </c>
      <c r="E30" s="21" t="n"/>
      <c r="F30" s="21" t="n"/>
      <c r="G30" s="21" t="n"/>
    </row>
    <row r="31">
      <c r="A31" s="18" t="n"/>
      <c r="B31" s="19" t="n"/>
      <c r="C31" s="19" t="n"/>
      <c r="D31" s="20">
        <f>IF(OR(B31="",C31=""),"",(C31-B31)*24)</f>
        <v/>
      </c>
      <c r="E31" s="21" t="n"/>
      <c r="F31" s="21" t="n"/>
      <c r="G31" s="21" t="n"/>
    </row>
    <row r="32">
      <c r="A32" s="18" t="n"/>
      <c r="B32" s="19" t="n"/>
      <c r="C32" s="19" t="n"/>
      <c r="D32" s="20">
        <f>IF(OR(B32="",C32=""),"",(C32-B32)*24)</f>
        <v/>
      </c>
      <c r="E32" s="21" t="n"/>
      <c r="F32" s="21" t="n"/>
      <c r="G32" s="21" t="n"/>
    </row>
    <row r="33">
      <c r="A33" s="18" t="n"/>
      <c r="B33" s="19" t="n"/>
      <c r="C33" s="19" t="n"/>
      <c r="D33" s="20">
        <f>IF(OR(B33="",C33=""),"",(C33-B33)*24)</f>
        <v/>
      </c>
      <c r="E33" s="21" t="n"/>
      <c r="F33" s="21" t="n"/>
      <c r="G33" s="21" t="n"/>
    </row>
    <row r="34">
      <c r="A34" s="18" t="n"/>
      <c r="B34" s="19" t="n"/>
      <c r="C34" s="19" t="n"/>
      <c r="D34" s="20">
        <f>IF(OR(B34="",C34=""),"",(C34-B34)*24)</f>
        <v/>
      </c>
      <c r="E34" s="21" t="n"/>
      <c r="F34" s="21" t="n"/>
      <c r="G34" s="21" t="n"/>
    </row>
    <row r="35">
      <c r="A35" s="18" t="n"/>
      <c r="B35" s="19" t="n"/>
      <c r="C35" s="19" t="n"/>
      <c r="D35" s="20">
        <f>IF(OR(B35="",C35=""),"",(C35-B35)*24)</f>
        <v/>
      </c>
      <c r="E35" s="21" t="n"/>
      <c r="F35" s="21" t="n"/>
      <c r="G35" s="21" t="n"/>
    </row>
    <row r="36">
      <c r="A36" s="18" t="n"/>
      <c r="B36" s="19" t="n"/>
      <c r="C36" s="19" t="n"/>
      <c r="D36" s="20">
        <f>IF(OR(B36="",C36=""),"",(C36-B36)*24)</f>
        <v/>
      </c>
      <c r="E36" s="21" t="n"/>
      <c r="F36" s="21" t="n"/>
      <c r="G36" s="21" t="n"/>
    </row>
    <row r="37">
      <c r="A37" s="18" t="n"/>
      <c r="B37" s="19" t="n"/>
      <c r="C37" s="19" t="n"/>
      <c r="D37" s="20">
        <f>IF(OR(B37="",C37=""),"",(C37-B37)*24)</f>
        <v/>
      </c>
      <c r="E37" s="21" t="n"/>
      <c r="F37" s="21" t="n"/>
      <c r="G37" s="21" t="n"/>
    </row>
    <row r="38">
      <c r="A38" s="18" t="n"/>
      <c r="B38" s="19" t="n"/>
      <c r="C38" s="19" t="n"/>
      <c r="D38" s="20">
        <f>IF(OR(B38="",C38=""),"",(C38-B38)*24)</f>
        <v/>
      </c>
      <c r="E38" s="21" t="n"/>
      <c r="F38" s="21" t="n"/>
      <c r="G38" s="21" t="n"/>
    </row>
    <row r="39">
      <c r="A39" s="18" t="n"/>
      <c r="B39" s="19" t="n"/>
      <c r="C39" s="19" t="n"/>
      <c r="D39" s="20">
        <f>IF(OR(B39="",C39=""),"",(C39-B39)*24)</f>
        <v/>
      </c>
      <c r="E39" s="21" t="n"/>
      <c r="F39" s="21" t="n"/>
      <c r="G39" s="21" t="n"/>
    </row>
    <row r="40">
      <c r="A40" s="18" t="n"/>
      <c r="B40" s="19" t="n"/>
      <c r="C40" s="19" t="n"/>
      <c r="D40" s="20">
        <f>IF(OR(B40="",C40=""),"",(C40-B40)*24)</f>
        <v/>
      </c>
      <c r="E40" s="21" t="n"/>
      <c r="F40" s="21" t="n"/>
      <c r="G40" s="21" t="n"/>
    </row>
    <row r="41">
      <c r="A41" s="18" t="n"/>
      <c r="B41" s="19" t="n"/>
      <c r="C41" s="19" t="n"/>
      <c r="D41" s="20">
        <f>IF(OR(B41="",C41=""),"",(C41-B41)*24)</f>
        <v/>
      </c>
      <c r="E41" s="21" t="n"/>
      <c r="F41" s="21" t="n"/>
      <c r="G41" s="21" t="n"/>
    </row>
    <row r="42">
      <c r="A42" s="18" t="n"/>
      <c r="B42" s="19" t="n"/>
      <c r="C42" s="19" t="n"/>
      <c r="D42" s="20">
        <f>IF(OR(B42="",C42=""),"",(C42-B42)*24)</f>
        <v/>
      </c>
      <c r="E42" s="21" t="n"/>
      <c r="F42" s="21" t="n"/>
      <c r="G42" s="21" t="n"/>
    </row>
    <row r="43">
      <c r="A43" s="18" t="n"/>
      <c r="B43" s="19" t="n"/>
      <c r="C43" s="19" t="n"/>
      <c r="D43" s="20">
        <f>IF(OR(B43="",C43=""),"",(C43-B43)*24)</f>
        <v/>
      </c>
      <c r="E43" s="21" t="n"/>
      <c r="F43" s="21" t="n"/>
      <c r="G43" s="21" t="n"/>
    </row>
    <row r="44">
      <c r="A44" s="18" t="n"/>
      <c r="B44" s="19" t="n"/>
      <c r="C44" s="19" t="n"/>
      <c r="D44" s="20">
        <f>IF(OR(B44="",C44=""),"",(C44-B44)*24)</f>
        <v/>
      </c>
      <c r="E44" s="21" t="n"/>
      <c r="F44" s="21" t="n"/>
      <c r="G44" s="21" t="n"/>
    </row>
    <row r="45">
      <c r="A45" s="18" t="n"/>
      <c r="B45" s="19" t="n"/>
      <c r="C45" s="19" t="n"/>
      <c r="D45" s="20">
        <f>IF(OR(B45="",C45=""),"",(C45-B45)*24)</f>
        <v/>
      </c>
      <c r="E45" s="21" t="n"/>
      <c r="F45" s="21" t="n"/>
      <c r="G45" s="21" t="n"/>
    </row>
    <row r="46">
      <c r="A46" s="18" t="n"/>
      <c r="B46" s="19" t="n"/>
      <c r="C46" s="19" t="n"/>
      <c r="D46" s="20">
        <f>IF(OR(B46="",C46=""),"",(C46-B46)*24)</f>
        <v/>
      </c>
      <c r="E46" s="21" t="n"/>
      <c r="F46" s="21" t="n"/>
      <c r="G46" s="21" t="n"/>
    </row>
    <row r="47">
      <c r="A47" s="18" t="n"/>
      <c r="B47" s="19" t="n"/>
      <c r="C47" s="19" t="n"/>
      <c r="D47" s="20">
        <f>IF(OR(B47="",C47=""),"",(C47-B47)*24)</f>
        <v/>
      </c>
      <c r="E47" s="21" t="n"/>
      <c r="F47" s="21" t="n"/>
      <c r="G47" s="21" t="n"/>
    </row>
    <row r="48">
      <c r="A48" s="18" t="n"/>
      <c r="B48" s="19" t="n"/>
      <c r="C48" s="19" t="n"/>
      <c r="D48" s="20">
        <f>IF(OR(B48="",C48=""),"",(C48-B48)*24)</f>
        <v/>
      </c>
      <c r="E48" s="21" t="n"/>
      <c r="F48" s="21" t="n"/>
      <c r="G48" s="21" t="n"/>
    </row>
    <row r="49">
      <c r="A49" s="18" t="n"/>
      <c r="B49" s="19" t="n"/>
      <c r="C49" s="19" t="n"/>
      <c r="D49" s="20">
        <f>IF(OR(B49="",C49=""),"",(C49-B49)*24)</f>
        <v/>
      </c>
      <c r="E49" s="21" t="n"/>
      <c r="F49" s="21" t="n"/>
      <c r="G49" s="21" t="n"/>
    </row>
    <row r="50">
      <c r="A50" s="18" t="n"/>
      <c r="B50" s="19" t="n"/>
      <c r="C50" s="19" t="n"/>
      <c r="D50" s="20">
        <f>IF(OR(B50="",C50=""),"",(C50-B50)*24)</f>
        <v/>
      </c>
      <c r="E50" s="21" t="n"/>
      <c r="F50" s="21" t="n"/>
      <c r="G50" s="21" t="n"/>
    </row>
    <row r="51">
      <c r="A51" s="18" t="n"/>
      <c r="B51" s="19" t="n"/>
      <c r="C51" s="19" t="n"/>
      <c r="D51" s="20">
        <f>IF(OR(B51="",C51=""),"",(C51-B51)*24)</f>
        <v/>
      </c>
      <c r="E51" s="21" t="n"/>
      <c r="F51" s="21" t="n"/>
      <c r="G51" s="21" t="n"/>
    </row>
    <row r="52">
      <c r="A52" s="18" t="n"/>
      <c r="B52" s="19" t="n"/>
      <c r="C52" s="19" t="n"/>
      <c r="D52" s="20">
        <f>IF(OR(B52="",C52=""),"",(C52-B52)*24)</f>
        <v/>
      </c>
      <c r="E52" s="21" t="n"/>
      <c r="F52" s="21" t="n"/>
      <c r="G52" s="21" t="n"/>
    </row>
    <row r="53">
      <c r="A53" s="18" t="n"/>
      <c r="B53" s="19" t="n"/>
      <c r="C53" s="19" t="n"/>
      <c r="D53" s="20">
        <f>IF(OR(B53="",C53=""),"",(C53-B53)*24)</f>
        <v/>
      </c>
      <c r="E53" s="21" t="n"/>
      <c r="F53" s="21" t="n"/>
      <c r="G53" s="21" t="n"/>
    </row>
    <row r="54">
      <c r="A54" s="18" t="n"/>
      <c r="B54" s="19" t="n"/>
      <c r="C54" s="19" t="n"/>
      <c r="D54" s="20">
        <f>IF(OR(B54="",C54=""),"",(C54-B54)*24)</f>
        <v/>
      </c>
      <c r="E54" s="21" t="n"/>
      <c r="F54" s="21" t="n"/>
      <c r="G54" s="21" t="n"/>
    </row>
    <row r="55">
      <c r="A55" s="18" t="n"/>
      <c r="B55" s="19" t="n"/>
      <c r="C55" s="19" t="n"/>
      <c r="D55" s="20">
        <f>IF(OR(B55="",C55=""),"",(C55-B55)*24)</f>
        <v/>
      </c>
      <c r="E55" s="21" t="n"/>
      <c r="F55" s="21" t="n"/>
      <c r="G55" s="21" t="n"/>
    </row>
    <row r="56">
      <c r="A56" s="18" t="n"/>
      <c r="B56" s="19" t="n"/>
      <c r="C56" s="19" t="n"/>
      <c r="D56" s="20">
        <f>IF(OR(B56="",C56=""),"",(C56-B56)*24)</f>
        <v/>
      </c>
      <c r="E56" s="21" t="n"/>
      <c r="F56" s="21" t="n"/>
      <c r="G56" s="21" t="n"/>
    </row>
    <row r="57">
      <c r="A57" s="18" t="n"/>
      <c r="B57" s="19" t="n"/>
      <c r="C57" s="19" t="n"/>
      <c r="D57" s="20">
        <f>IF(OR(B57="",C57=""),"",(C57-B57)*24)</f>
        <v/>
      </c>
      <c r="E57" s="21" t="n"/>
      <c r="F57" s="21" t="n"/>
      <c r="G57" s="21" t="n"/>
    </row>
    <row r="58">
      <c r="A58" s="18" t="n"/>
      <c r="B58" s="19" t="n"/>
      <c r="C58" s="19" t="n"/>
      <c r="D58" s="20">
        <f>IF(OR(B58="",C58=""),"",(C58-B58)*24)</f>
        <v/>
      </c>
      <c r="E58" s="21" t="n"/>
      <c r="F58" s="21" t="n"/>
      <c r="G58" s="21" t="n"/>
    </row>
    <row r="59">
      <c r="A59" s="18" t="n"/>
      <c r="B59" s="19" t="n"/>
      <c r="C59" s="19" t="n"/>
      <c r="D59" s="20">
        <f>IF(OR(B59="",C59=""),"",(C59-B59)*24)</f>
        <v/>
      </c>
      <c r="E59" s="21" t="n"/>
      <c r="F59" s="21" t="n"/>
      <c r="G59" s="21" t="n"/>
    </row>
    <row r="60">
      <c r="A60" s="18" t="n"/>
      <c r="B60" s="19" t="n"/>
      <c r="C60" s="19" t="n"/>
      <c r="D60" s="20">
        <f>IF(OR(B60="",C60=""),"",(C60-B60)*24)</f>
        <v/>
      </c>
      <c r="E60" s="21" t="n"/>
      <c r="F60" s="21" t="n"/>
      <c r="G60" s="21" t="n"/>
    </row>
    <row r="61">
      <c r="A61" s="18" t="n"/>
      <c r="B61" s="19" t="n"/>
      <c r="C61" s="19" t="n"/>
      <c r="D61" s="20">
        <f>IF(OR(B61="",C61=""),"",(C61-B61)*24)</f>
        <v/>
      </c>
      <c r="E61" s="21" t="n"/>
      <c r="F61" s="21" t="n"/>
      <c r="G61" s="21" t="n"/>
    </row>
    <row r="62">
      <c r="A62" s="18" t="n"/>
      <c r="B62" s="19" t="n"/>
      <c r="C62" s="19" t="n"/>
      <c r="D62" s="20">
        <f>IF(OR(B62="",C62=""),"",(C62-B62)*24)</f>
        <v/>
      </c>
      <c r="E62" s="21" t="n"/>
      <c r="F62" s="21" t="n"/>
      <c r="G62" s="21" t="n"/>
    </row>
    <row r="63">
      <c r="A63" s="18" t="n"/>
      <c r="B63" s="19" t="n"/>
      <c r="C63" s="19" t="n"/>
      <c r="D63" s="20">
        <f>IF(OR(B63="",C63=""),"",(C63-B63)*24)</f>
        <v/>
      </c>
      <c r="E63" s="21" t="n"/>
      <c r="F63" s="21" t="n"/>
      <c r="G63" s="21" t="n"/>
    </row>
    <row r="64">
      <c r="A64" s="18" t="n"/>
      <c r="B64" s="19" t="n"/>
      <c r="C64" s="19" t="n"/>
      <c r="D64" s="20">
        <f>IF(OR(B64="",C64=""),"",(C64-B64)*24)</f>
        <v/>
      </c>
      <c r="E64" s="21" t="n"/>
      <c r="F64" s="21" t="n"/>
      <c r="G64" s="21" t="n"/>
    </row>
    <row r="65">
      <c r="A65" s="18" t="n"/>
      <c r="B65" s="19" t="n"/>
      <c r="C65" s="19" t="n"/>
      <c r="D65" s="20">
        <f>IF(OR(B65="",C65=""),"",(C65-B65)*24)</f>
        <v/>
      </c>
      <c r="E65" s="21" t="n"/>
      <c r="F65" s="21" t="n"/>
      <c r="G65" s="21" t="n"/>
    </row>
    <row r="66">
      <c r="A66" s="18" t="n"/>
      <c r="B66" s="19" t="n"/>
      <c r="C66" s="19" t="n"/>
      <c r="D66" s="20">
        <f>IF(OR(B66="",C66=""),"",(C66-B66)*24)</f>
        <v/>
      </c>
      <c r="E66" s="21" t="n"/>
      <c r="F66" s="21" t="n"/>
      <c r="G66" s="21" t="n"/>
    </row>
    <row r="67">
      <c r="A67" s="18" t="n"/>
      <c r="B67" s="19" t="n"/>
      <c r="C67" s="19" t="n"/>
      <c r="D67" s="20">
        <f>IF(OR(B67="",C67=""),"",(C67-B67)*24)</f>
        <v/>
      </c>
      <c r="E67" s="21" t="n"/>
      <c r="F67" s="21" t="n"/>
      <c r="G67" s="21" t="n"/>
    </row>
    <row r="68">
      <c r="A68" s="18" t="n"/>
      <c r="B68" s="19" t="n"/>
      <c r="C68" s="19" t="n"/>
      <c r="D68" s="20">
        <f>IF(OR(B68="",C68=""),"",(C68-B68)*24)</f>
        <v/>
      </c>
      <c r="E68" s="21" t="n"/>
      <c r="F68" s="21" t="n"/>
      <c r="G68" s="21" t="n"/>
    </row>
    <row r="69">
      <c r="A69" s="18" t="n"/>
      <c r="B69" s="19" t="n"/>
      <c r="C69" s="19" t="n"/>
      <c r="D69" s="20">
        <f>IF(OR(B69="",C69=""),"",(C69-B69)*24)</f>
        <v/>
      </c>
      <c r="E69" s="21" t="n"/>
      <c r="F69" s="21" t="n"/>
      <c r="G69" s="21" t="n"/>
    </row>
    <row r="70">
      <c r="A70" s="18" t="n"/>
      <c r="B70" s="19" t="n"/>
      <c r="C70" s="19" t="n"/>
      <c r="D70" s="20">
        <f>IF(OR(B70="",C70=""),"",(C70-B70)*24)</f>
        <v/>
      </c>
      <c r="E70" s="21" t="n"/>
      <c r="F70" s="21" t="n"/>
      <c r="G70" s="21" t="n"/>
    </row>
    <row r="71">
      <c r="A71" s="18" t="n"/>
      <c r="B71" s="19" t="n"/>
      <c r="C71" s="19" t="n"/>
      <c r="D71" s="20">
        <f>IF(OR(B71="",C71=""),"",(C71-B71)*24)</f>
        <v/>
      </c>
      <c r="E71" s="21" t="n"/>
      <c r="F71" s="21" t="n"/>
      <c r="G71" s="21" t="n"/>
    </row>
    <row r="72">
      <c r="A72" s="18" t="n"/>
      <c r="B72" s="19" t="n"/>
      <c r="C72" s="19" t="n"/>
      <c r="D72" s="20">
        <f>IF(OR(B72="",C72=""),"",(C72-B72)*24)</f>
        <v/>
      </c>
      <c r="E72" s="21" t="n"/>
      <c r="F72" s="21" t="n"/>
      <c r="G72" s="21" t="n"/>
    </row>
    <row r="73">
      <c r="A73" s="18" t="n"/>
      <c r="B73" s="19" t="n"/>
      <c r="C73" s="19" t="n"/>
      <c r="D73" s="20">
        <f>IF(OR(B73="",C73=""),"",(C73-B73)*24)</f>
        <v/>
      </c>
      <c r="E73" s="21" t="n"/>
      <c r="F73" s="21" t="n"/>
      <c r="G73" s="21" t="n"/>
    </row>
    <row r="74">
      <c r="A74" s="18" t="n"/>
      <c r="B74" s="19" t="n"/>
      <c r="C74" s="19" t="n"/>
      <c r="D74" s="20">
        <f>IF(OR(B74="",C74=""),"",(C74-B74)*24)</f>
        <v/>
      </c>
      <c r="E74" s="21" t="n"/>
      <c r="F74" s="21" t="n"/>
      <c r="G74" s="21" t="n"/>
    </row>
    <row r="75">
      <c r="A75" s="18" t="n"/>
      <c r="B75" s="19" t="n"/>
      <c r="C75" s="19" t="n"/>
      <c r="D75" s="20">
        <f>IF(OR(B75="",C75=""),"",(C75-B75)*24)</f>
        <v/>
      </c>
      <c r="E75" s="21" t="n"/>
      <c r="F75" s="21" t="n"/>
      <c r="G75" s="21" t="n"/>
    </row>
    <row r="76">
      <c r="A76" s="18" t="n"/>
      <c r="B76" s="19" t="n"/>
      <c r="C76" s="19" t="n"/>
      <c r="D76" s="20">
        <f>IF(OR(B76="",C76=""),"",(C76-B76)*24)</f>
        <v/>
      </c>
      <c r="E76" s="21" t="n"/>
      <c r="F76" s="21" t="n"/>
      <c r="G76" s="21" t="n"/>
    </row>
    <row r="77">
      <c r="A77" s="18" t="n"/>
      <c r="B77" s="19" t="n"/>
      <c r="C77" s="19" t="n"/>
      <c r="D77" s="20">
        <f>IF(OR(B77="",C77=""),"",(C77-B77)*24)</f>
        <v/>
      </c>
      <c r="E77" s="21" t="n"/>
      <c r="F77" s="21" t="n"/>
      <c r="G77" s="21" t="n"/>
    </row>
    <row r="78">
      <c r="A78" s="18" t="n"/>
      <c r="B78" s="19" t="n"/>
      <c r="C78" s="19" t="n"/>
      <c r="D78" s="20">
        <f>IF(OR(B78="",C78=""),"",(C78-B78)*24)</f>
        <v/>
      </c>
      <c r="E78" s="21" t="n"/>
      <c r="F78" s="21" t="n"/>
      <c r="G78" s="21" t="n"/>
    </row>
    <row r="79">
      <c r="A79" s="18" t="n"/>
      <c r="B79" s="19" t="n"/>
      <c r="C79" s="19" t="n"/>
      <c r="D79" s="20">
        <f>IF(OR(B79="",C79=""),"",(C79-B79)*24)</f>
        <v/>
      </c>
      <c r="E79" s="21" t="n"/>
      <c r="F79" s="21" t="n"/>
      <c r="G79" s="21" t="n"/>
    </row>
    <row r="80">
      <c r="A80" s="18" t="n"/>
      <c r="B80" s="19" t="n"/>
      <c r="C80" s="19" t="n"/>
      <c r="D80" s="20">
        <f>IF(OR(B80="",C80=""),"",(C80-B80)*24)</f>
        <v/>
      </c>
      <c r="E80" s="21" t="n"/>
      <c r="F80" s="21" t="n"/>
      <c r="G80" s="21" t="n"/>
    </row>
    <row r="81">
      <c r="A81" s="18" t="n"/>
      <c r="B81" s="19" t="n"/>
      <c r="C81" s="19" t="n"/>
      <c r="D81" s="20">
        <f>IF(OR(B81="",C81=""),"",(C81-B81)*24)</f>
        <v/>
      </c>
      <c r="E81" s="21" t="n"/>
      <c r="F81" s="21" t="n"/>
      <c r="G81" s="21" t="n"/>
    </row>
    <row r="82">
      <c r="A82" s="18" t="n"/>
      <c r="B82" s="19" t="n"/>
      <c r="C82" s="19" t="n"/>
      <c r="D82" s="20">
        <f>IF(OR(B82="",C82=""),"",(C82-B82)*24)</f>
        <v/>
      </c>
      <c r="E82" s="21" t="n"/>
      <c r="F82" s="21" t="n"/>
      <c r="G82" s="21" t="n"/>
    </row>
    <row r="83">
      <c r="A83" s="18" t="n"/>
      <c r="B83" s="19" t="n"/>
      <c r="C83" s="19" t="n"/>
      <c r="D83" s="20">
        <f>IF(OR(B83="",C83=""),"",(C83-B83)*24)</f>
        <v/>
      </c>
      <c r="E83" s="21" t="n"/>
      <c r="F83" s="21" t="n"/>
      <c r="G83" s="21" t="n"/>
    </row>
    <row r="84">
      <c r="A84" s="18" t="n"/>
      <c r="B84" s="19" t="n"/>
      <c r="C84" s="19" t="n"/>
      <c r="D84" s="20">
        <f>IF(OR(B84="",C84=""),"",(C84-B84)*24)</f>
        <v/>
      </c>
      <c r="E84" s="21" t="n"/>
      <c r="F84" s="21" t="n"/>
      <c r="G84" s="21" t="n"/>
    </row>
    <row r="85">
      <c r="A85" s="18" t="n"/>
      <c r="B85" s="19" t="n"/>
      <c r="C85" s="19" t="n"/>
      <c r="D85" s="20">
        <f>IF(OR(B85="",C85=""),"",(C85-B85)*24)</f>
        <v/>
      </c>
      <c r="E85" s="21" t="n"/>
      <c r="F85" s="21" t="n"/>
      <c r="G85" s="21" t="n"/>
    </row>
    <row r="86">
      <c r="A86" s="18" t="n"/>
      <c r="B86" s="19" t="n"/>
      <c r="C86" s="19" t="n"/>
      <c r="D86" s="20">
        <f>IF(OR(B86="",C86=""),"",(C86-B86)*24)</f>
        <v/>
      </c>
      <c r="E86" s="21" t="n"/>
      <c r="F86" s="21" t="n"/>
      <c r="G86" s="21" t="n"/>
    </row>
    <row r="87">
      <c r="A87" s="18" t="n"/>
      <c r="B87" s="19" t="n"/>
      <c r="C87" s="19" t="n"/>
      <c r="D87" s="20">
        <f>IF(OR(B87="",C87=""),"",(C87-B87)*24)</f>
        <v/>
      </c>
      <c r="E87" s="21" t="n"/>
      <c r="F87" s="21" t="n"/>
      <c r="G87" s="21" t="n"/>
    </row>
    <row r="88">
      <c r="A88" s="18" t="n"/>
      <c r="B88" s="19" t="n"/>
      <c r="C88" s="19" t="n"/>
      <c r="D88" s="20">
        <f>IF(OR(B88="",C88=""),"",(C88-B88)*24)</f>
        <v/>
      </c>
      <c r="E88" s="21" t="n"/>
      <c r="F88" s="21" t="n"/>
      <c r="G88" s="21" t="n"/>
    </row>
    <row r="89">
      <c r="A89" s="18" t="n"/>
      <c r="B89" s="19" t="n"/>
      <c r="C89" s="19" t="n"/>
      <c r="D89" s="20">
        <f>IF(OR(B89="",C89=""),"",(C89-B89)*24)</f>
        <v/>
      </c>
      <c r="E89" s="21" t="n"/>
      <c r="F89" s="21" t="n"/>
      <c r="G89" s="21" t="n"/>
    </row>
    <row r="90">
      <c r="A90" s="18" t="n"/>
      <c r="B90" s="19" t="n"/>
      <c r="C90" s="19" t="n"/>
      <c r="D90" s="20">
        <f>IF(OR(B90="",C90=""),"",(C90-B90)*24)</f>
        <v/>
      </c>
      <c r="E90" s="21" t="n"/>
      <c r="F90" s="21" t="n"/>
      <c r="G90" s="21" t="n"/>
    </row>
    <row r="91">
      <c r="A91" s="18" t="n"/>
      <c r="B91" s="19" t="n"/>
      <c r="C91" s="19" t="n"/>
      <c r="D91" s="20">
        <f>IF(OR(B91="",C91=""),"",(C91-B91)*24)</f>
        <v/>
      </c>
      <c r="E91" s="21" t="n"/>
      <c r="F91" s="21" t="n"/>
      <c r="G91" s="21" t="n"/>
    </row>
    <row r="92">
      <c r="A92" s="18" t="n"/>
      <c r="B92" s="19" t="n"/>
      <c r="C92" s="19" t="n"/>
      <c r="D92" s="20">
        <f>IF(OR(B92="",C92=""),"",(C92-B92)*24)</f>
        <v/>
      </c>
      <c r="E92" s="21" t="n"/>
      <c r="F92" s="21" t="n"/>
      <c r="G92" s="21" t="n"/>
    </row>
    <row r="93">
      <c r="A93" s="18" t="n"/>
      <c r="B93" s="19" t="n"/>
      <c r="C93" s="19" t="n"/>
      <c r="D93" s="20">
        <f>IF(OR(B93="",C93=""),"",(C93-B93)*24)</f>
        <v/>
      </c>
      <c r="E93" s="21" t="n"/>
      <c r="F93" s="21" t="n"/>
      <c r="G93" s="21" t="n"/>
    </row>
    <row r="94">
      <c r="A94" s="18" t="n"/>
      <c r="B94" s="19" t="n"/>
      <c r="C94" s="19" t="n"/>
      <c r="D94" s="20">
        <f>IF(OR(B94="",C94=""),"",(C94-B94)*24)</f>
        <v/>
      </c>
      <c r="E94" s="21" t="n"/>
      <c r="F94" s="21" t="n"/>
      <c r="G94" s="21" t="n"/>
    </row>
    <row r="95">
      <c r="A95" s="18" t="n"/>
      <c r="B95" s="19" t="n"/>
      <c r="C95" s="19" t="n"/>
      <c r="D95" s="20">
        <f>IF(OR(B95="",C95=""),"",(C95-B95)*24)</f>
        <v/>
      </c>
      <c r="E95" s="21" t="n"/>
      <c r="F95" s="21" t="n"/>
      <c r="G95" s="21" t="n"/>
    </row>
    <row r="96">
      <c r="A96" s="18" t="n"/>
      <c r="B96" s="19" t="n"/>
      <c r="C96" s="19" t="n"/>
      <c r="D96" s="20">
        <f>IF(OR(B96="",C96=""),"",(C96-B96)*24)</f>
        <v/>
      </c>
      <c r="E96" s="21" t="n"/>
      <c r="F96" s="21" t="n"/>
      <c r="G96" s="21" t="n"/>
    </row>
    <row r="97">
      <c r="A97" s="18" t="n"/>
      <c r="B97" s="19" t="n"/>
      <c r="C97" s="19" t="n"/>
      <c r="D97" s="20">
        <f>IF(OR(B97="",C97=""),"",(C97-B97)*24)</f>
        <v/>
      </c>
      <c r="E97" s="21" t="n"/>
      <c r="F97" s="21" t="n"/>
      <c r="G97" s="21" t="n"/>
    </row>
    <row r="98">
      <c r="A98" s="18" t="n"/>
      <c r="B98" s="19" t="n"/>
      <c r="C98" s="19" t="n"/>
      <c r="D98" s="20">
        <f>IF(OR(B98="",C98=""),"",(C98-B98)*24)</f>
        <v/>
      </c>
      <c r="E98" s="21" t="n"/>
      <c r="F98" s="21" t="n"/>
      <c r="G98" s="21" t="n"/>
    </row>
    <row r="99">
      <c r="A99" s="18" t="n"/>
      <c r="B99" s="19" t="n"/>
      <c r="C99" s="19" t="n"/>
      <c r="D99" s="20">
        <f>IF(OR(B99="",C99=""),"",(C99-B99)*24)</f>
        <v/>
      </c>
      <c r="E99" s="21" t="n"/>
      <c r="F99" s="21" t="n"/>
      <c r="G99" s="21" t="n"/>
    </row>
    <row r="100">
      <c r="A100" s="18" t="n"/>
      <c r="B100" s="19" t="n"/>
      <c r="C100" s="19" t="n"/>
      <c r="D100" s="20">
        <f>IF(OR(B100="",C100=""),"",(C100-B100)*24)</f>
        <v/>
      </c>
      <c r="E100" s="21" t="n"/>
      <c r="F100" s="21" t="n"/>
      <c r="G100" s="21" t="n"/>
    </row>
    <row r="101">
      <c r="A101" s="18" t="n"/>
      <c r="B101" s="19" t="n"/>
      <c r="C101" s="19" t="n"/>
      <c r="D101" s="20">
        <f>IF(OR(B101="",C101=""),"",(C101-B101)*24)</f>
        <v/>
      </c>
      <c r="E101" s="21" t="n"/>
      <c r="F101" s="21" t="n"/>
      <c r="G101" s="21" t="n"/>
    </row>
    <row r="102">
      <c r="A102" s="18" t="n"/>
      <c r="B102" s="19" t="n"/>
      <c r="C102" s="19" t="n"/>
      <c r="D102" s="20">
        <f>IF(OR(B102="",C102=""),"",(C102-B102)*24)</f>
        <v/>
      </c>
      <c r="E102" s="21" t="n"/>
      <c r="F102" s="21" t="n"/>
      <c r="G102" s="21" t="n"/>
    </row>
    <row r="103">
      <c r="A103" s="18" t="n"/>
      <c r="B103" s="19" t="n"/>
      <c r="C103" s="19" t="n"/>
      <c r="D103" s="20">
        <f>IF(OR(B103="",C103=""),"",(C103-B103)*24)</f>
        <v/>
      </c>
      <c r="E103" s="21" t="n"/>
      <c r="F103" s="21" t="n"/>
      <c r="G103" s="21" t="n"/>
    </row>
    <row r="104">
      <c r="A104" s="18" t="n"/>
      <c r="B104" s="19" t="n"/>
      <c r="C104" s="19" t="n"/>
      <c r="D104" s="20">
        <f>IF(OR(B104="",C104=""),"",(C104-B104)*24)</f>
        <v/>
      </c>
      <c r="E104" s="21" t="n"/>
      <c r="F104" s="21" t="n"/>
      <c r="G104" s="21" t="n"/>
    </row>
    <row r="105">
      <c r="A105" s="18" t="n"/>
      <c r="B105" s="19" t="n"/>
      <c r="C105" s="19" t="n"/>
      <c r="D105" s="20">
        <f>IF(OR(B105="",C105=""),"",(C105-B105)*24)</f>
        <v/>
      </c>
      <c r="E105" s="21" t="n"/>
      <c r="F105" s="21" t="n"/>
      <c r="G105" s="21" t="n"/>
    </row>
    <row r="106">
      <c r="A106" s="18" t="n"/>
      <c r="B106" s="19" t="n"/>
      <c r="C106" s="19" t="n"/>
      <c r="D106" s="20">
        <f>IF(OR(B106="",C106=""),"",(C106-B106)*24)</f>
        <v/>
      </c>
      <c r="E106" s="21" t="n"/>
      <c r="F106" s="21" t="n"/>
      <c r="G106" s="21" t="n"/>
    </row>
    <row r="107">
      <c r="A107" s="18" t="n"/>
      <c r="B107" s="19" t="n"/>
      <c r="C107" s="19" t="n"/>
      <c r="D107" s="20">
        <f>IF(OR(B107="",C107=""),"",(C107-B107)*24)</f>
        <v/>
      </c>
      <c r="E107" s="21" t="n"/>
      <c r="F107" s="21" t="n"/>
      <c r="G107" s="21" t="n"/>
    </row>
    <row r="108">
      <c r="A108" s="18" t="n"/>
      <c r="B108" s="19" t="n"/>
      <c r="C108" s="19" t="n"/>
      <c r="D108" s="20">
        <f>IF(OR(B108="",C108=""),"",(C108-B108)*24)</f>
        <v/>
      </c>
      <c r="E108" s="21" t="n"/>
      <c r="F108" s="21" t="n"/>
      <c r="G108" s="21" t="n"/>
    </row>
    <row r="109">
      <c r="A109" s="18" t="n"/>
      <c r="B109" s="19" t="n"/>
      <c r="C109" s="19" t="n"/>
      <c r="D109" s="20">
        <f>IF(OR(B109="",C109=""),"",(C109-B109)*24)</f>
        <v/>
      </c>
      <c r="E109" s="21" t="n"/>
      <c r="F109" s="21" t="n"/>
      <c r="G109" s="21" t="n"/>
    </row>
    <row r="110">
      <c r="A110" s="18" t="n"/>
      <c r="B110" s="19" t="n"/>
      <c r="C110" s="19" t="n"/>
      <c r="D110" s="20">
        <f>IF(OR(B110="",C110=""),"",(C110-B110)*24)</f>
        <v/>
      </c>
      <c r="E110" s="21" t="n"/>
      <c r="F110" s="21" t="n"/>
      <c r="G110" s="21" t="n"/>
    </row>
    <row r="111">
      <c r="A111" s="18" t="n"/>
      <c r="B111" s="19" t="n"/>
      <c r="C111" s="19" t="n"/>
      <c r="D111" s="20">
        <f>IF(OR(B111="",C111=""),"",(C111-B111)*24)</f>
        <v/>
      </c>
      <c r="E111" s="21" t="n"/>
      <c r="F111" s="21" t="n"/>
      <c r="G111" s="21" t="n"/>
    </row>
    <row r="112">
      <c r="A112" s="18" t="n"/>
      <c r="B112" s="19" t="n"/>
      <c r="C112" s="19" t="n"/>
      <c r="D112" s="20">
        <f>IF(OR(B112="",C112=""),"",(C112-B112)*24)</f>
        <v/>
      </c>
      <c r="E112" s="21" t="n"/>
      <c r="F112" s="21" t="n"/>
      <c r="G112" s="21" t="n"/>
    </row>
    <row r="113">
      <c r="A113" s="18" t="n"/>
      <c r="B113" s="19" t="n"/>
      <c r="C113" s="19" t="n"/>
      <c r="D113" s="20">
        <f>IF(OR(B113="",C113=""),"",(C113-B113)*24)</f>
        <v/>
      </c>
      <c r="E113" s="21" t="n"/>
      <c r="F113" s="21" t="n"/>
      <c r="G113" s="21" t="n"/>
    </row>
    <row r="114">
      <c r="A114" s="18" t="n"/>
      <c r="B114" s="19" t="n"/>
      <c r="C114" s="19" t="n"/>
      <c r="D114" s="20">
        <f>IF(OR(B114="",C114=""),"",(C114-B114)*24)</f>
        <v/>
      </c>
      <c r="E114" s="21" t="n"/>
      <c r="F114" s="21" t="n"/>
      <c r="G114" s="21" t="n"/>
    </row>
    <row r="115">
      <c r="A115" s="18" t="n"/>
      <c r="B115" s="19" t="n"/>
      <c r="C115" s="19" t="n"/>
      <c r="D115" s="20">
        <f>IF(OR(B115="",C115=""),"",(C115-B115)*24)</f>
        <v/>
      </c>
      <c r="E115" s="21" t="n"/>
      <c r="F115" s="21" t="n"/>
      <c r="G115" s="21" t="n"/>
    </row>
    <row r="116">
      <c r="A116" s="18" t="n"/>
      <c r="B116" s="19" t="n"/>
      <c r="C116" s="19" t="n"/>
      <c r="D116" s="20">
        <f>IF(OR(B116="",C116=""),"",(C116-B116)*24)</f>
        <v/>
      </c>
      <c r="E116" s="21" t="n"/>
      <c r="F116" s="21" t="n"/>
      <c r="G116" s="21" t="n"/>
    </row>
    <row r="117">
      <c r="A117" s="18" t="n"/>
      <c r="B117" s="19" t="n"/>
      <c r="C117" s="19" t="n"/>
      <c r="D117" s="20">
        <f>IF(OR(B117="",C117=""),"",(C117-B117)*24)</f>
        <v/>
      </c>
      <c r="E117" s="21" t="n"/>
      <c r="F117" s="21" t="n"/>
      <c r="G117" s="21" t="n"/>
    </row>
    <row r="118">
      <c r="A118" s="18" t="n"/>
      <c r="B118" s="19" t="n"/>
      <c r="C118" s="19" t="n"/>
      <c r="D118" s="20">
        <f>IF(OR(B118="",C118=""),"",(C118-B118)*24)</f>
        <v/>
      </c>
      <c r="E118" s="21" t="n"/>
      <c r="F118" s="21" t="n"/>
      <c r="G118" s="21" t="n"/>
    </row>
    <row r="119">
      <c r="A119" s="18" t="n"/>
      <c r="B119" s="19" t="n"/>
      <c r="C119" s="19" t="n"/>
      <c r="D119" s="20">
        <f>IF(OR(B119="",C119=""),"",(C119-B119)*24)</f>
        <v/>
      </c>
      <c r="E119" s="21" t="n"/>
      <c r="F119" s="21" t="n"/>
      <c r="G119" s="21" t="n"/>
    </row>
    <row r="120">
      <c r="A120" s="18" t="n"/>
      <c r="B120" s="19" t="n"/>
      <c r="C120" s="19" t="n"/>
      <c r="D120" s="20">
        <f>IF(OR(B120="",C120=""),"",(C120-B120)*24)</f>
        <v/>
      </c>
      <c r="E120" s="21" t="n"/>
      <c r="F120" s="21" t="n"/>
      <c r="G120" s="21" t="n"/>
    </row>
    <row r="121">
      <c r="A121" s="18" t="n"/>
      <c r="B121" s="19" t="n"/>
      <c r="C121" s="19" t="n"/>
      <c r="D121" s="20">
        <f>IF(OR(B121="",C121=""),"",(C121-B121)*24)</f>
        <v/>
      </c>
      <c r="E121" s="21" t="n"/>
      <c r="F121" s="21" t="n"/>
      <c r="G121" s="21" t="n"/>
    </row>
    <row r="122">
      <c r="A122" s="18" t="n"/>
      <c r="B122" s="19" t="n"/>
      <c r="C122" s="19" t="n"/>
      <c r="D122" s="20">
        <f>IF(OR(B122="",C122=""),"",(C122-B122)*24)</f>
        <v/>
      </c>
      <c r="E122" s="21" t="n"/>
      <c r="F122" s="21" t="n"/>
      <c r="G122" s="21" t="n"/>
    </row>
    <row r="123">
      <c r="A123" s="18" t="n"/>
      <c r="B123" s="19" t="n"/>
      <c r="C123" s="19" t="n"/>
      <c r="D123" s="20">
        <f>IF(OR(B123="",C123=""),"",(C123-B123)*24)</f>
        <v/>
      </c>
      <c r="E123" s="21" t="n"/>
      <c r="F123" s="21" t="n"/>
      <c r="G123" s="21" t="n"/>
    </row>
    <row r="124">
      <c r="A124" s="18" t="n"/>
      <c r="B124" s="19" t="n"/>
      <c r="C124" s="19" t="n"/>
      <c r="D124" s="20">
        <f>IF(OR(B124="",C124=""),"",(C124-B124)*24)</f>
        <v/>
      </c>
      <c r="E124" s="21" t="n"/>
      <c r="F124" s="21" t="n"/>
      <c r="G124" s="21" t="n"/>
    </row>
    <row r="125">
      <c r="A125" s="18" t="n"/>
      <c r="B125" s="19" t="n"/>
      <c r="C125" s="19" t="n"/>
      <c r="D125" s="20">
        <f>IF(OR(B125="",C125=""),"",(C125-B125)*24)</f>
        <v/>
      </c>
      <c r="E125" s="21" t="n"/>
      <c r="F125" s="21" t="n"/>
      <c r="G125" s="21" t="n"/>
    </row>
    <row r="126">
      <c r="A126" s="18" t="n"/>
      <c r="B126" s="19" t="n"/>
      <c r="C126" s="19" t="n"/>
      <c r="D126" s="20">
        <f>IF(OR(B126="",C126=""),"",(C126-B126)*24)</f>
        <v/>
      </c>
      <c r="E126" s="21" t="n"/>
      <c r="F126" s="21" t="n"/>
      <c r="G126" s="21" t="n"/>
    </row>
    <row r="127">
      <c r="A127" s="18" t="n"/>
      <c r="B127" s="19" t="n"/>
      <c r="C127" s="19" t="n"/>
      <c r="D127" s="20">
        <f>IF(OR(B127="",C127=""),"",(C127-B127)*24)</f>
        <v/>
      </c>
      <c r="E127" s="21" t="n"/>
      <c r="F127" s="21" t="n"/>
      <c r="G127" s="21" t="n"/>
    </row>
    <row r="128">
      <c r="A128" s="18" t="n"/>
      <c r="B128" s="19" t="n"/>
      <c r="C128" s="19" t="n"/>
      <c r="D128" s="20">
        <f>IF(OR(B128="",C128=""),"",(C128-B128)*24)</f>
        <v/>
      </c>
      <c r="E128" s="21" t="n"/>
      <c r="F128" s="21" t="n"/>
      <c r="G128" s="21" t="n"/>
    </row>
    <row r="129">
      <c r="A129" s="18" t="n"/>
      <c r="B129" s="19" t="n"/>
      <c r="C129" s="19" t="n"/>
      <c r="D129" s="20">
        <f>IF(OR(B129="",C129=""),"",(C129-B129)*24)</f>
        <v/>
      </c>
      <c r="E129" s="21" t="n"/>
      <c r="F129" s="21" t="n"/>
      <c r="G129" s="21" t="n"/>
    </row>
    <row r="130">
      <c r="A130" s="18" t="n"/>
      <c r="B130" s="19" t="n"/>
      <c r="C130" s="19" t="n"/>
      <c r="D130" s="20">
        <f>IF(OR(B130="",C130=""),"",(C130-B130)*24)</f>
        <v/>
      </c>
      <c r="E130" s="21" t="n"/>
      <c r="F130" s="21" t="n"/>
      <c r="G130" s="21" t="n"/>
    </row>
    <row r="131">
      <c r="A131" s="18" t="n"/>
      <c r="B131" s="19" t="n"/>
      <c r="C131" s="19" t="n"/>
      <c r="D131" s="20">
        <f>IF(OR(B131="",C131=""),"",(C131-B131)*24)</f>
        <v/>
      </c>
      <c r="E131" s="21" t="n"/>
      <c r="F131" s="21" t="n"/>
      <c r="G131" s="21" t="n"/>
    </row>
    <row r="132">
      <c r="A132" s="18" t="n"/>
      <c r="B132" s="19" t="n"/>
      <c r="C132" s="19" t="n"/>
      <c r="D132" s="20">
        <f>IF(OR(B132="",C132=""),"",(C132-B132)*24)</f>
        <v/>
      </c>
      <c r="E132" s="21" t="n"/>
      <c r="F132" s="21" t="n"/>
      <c r="G132" s="21" t="n"/>
    </row>
    <row r="133">
      <c r="A133" s="18" t="n"/>
      <c r="B133" s="19" t="n"/>
      <c r="C133" s="19" t="n"/>
      <c r="D133" s="20">
        <f>IF(OR(B133="",C133=""),"",(C133-B133)*24)</f>
        <v/>
      </c>
      <c r="E133" s="21" t="n"/>
      <c r="F133" s="21" t="n"/>
      <c r="G133" s="21" t="n"/>
    </row>
    <row r="134">
      <c r="A134" s="18" t="n"/>
      <c r="B134" s="19" t="n"/>
      <c r="C134" s="19" t="n"/>
      <c r="D134" s="20">
        <f>IF(OR(B134="",C134=""),"",(C134-B134)*24)</f>
        <v/>
      </c>
      <c r="E134" s="21" t="n"/>
      <c r="F134" s="21" t="n"/>
      <c r="G134" s="21" t="n"/>
    </row>
    <row r="135">
      <c r="A135" s="18" t="n"/>
      <c r="B135" s="19" t="n"/>
      <c r="C135" s="19" t="n"/>
      <c r="D135" s="20">
        <f>IF(OR(B135="",C135=""),"",(C135-B135)*24)</f>
        <v/>
      </c>
      <c r="E135" s="21" t="n"/>
      <c r="F135" s="21" t="n"/>
      <c r="G135" s="21" t="n"/>
    </row>
    <row r="136">
      <c r="A136" s="18" t="n"/>
      <c r="B136" s="19" t="n"/>
      <c r="C136" s="19" t="n"/>
      <c r="D136" s="20">
        <f>IF(OR(B136="",C136=""),"",(C136-B136)*24)</f>
        <v/>
      </c>
      <c r="E136" s="21" t="n"/>
      <c r="F136" s="21" t="n"/>
      <c r="G136" s="21" t="n"/>
    </row>
    <row r="137">
      <c r="A137" s="18" t="n"/>
      <c r="B137" s="19" t="n"/>
      <c r="C137" s="19" t="n"/>
      <c r="D137" s="20">
        <f>IF(OR(B137="",C137=""),"",(C137-B137)*24)</f>
        <v/>
      </c>
      <c r="E137" s="21" t="n"/>
      <c r="F137" s="21" t="n"/>
      <c r="G137" s="21" t="n"/>
    </row>
    <row r="138">
      <c r="A138" s="18" t="n"/>
      <c r="B138" s="19" t="n"/>
      <c r="C138" s="19" t="n"/>
      <c r="D138" s="20">
        <f>IF(OR(B138="",C138=""),"",(C138-B138)*24)</f>
        <v/>
      </c>
      <c r="E138" s="21" t="n"/>
      <c r="F138" s="21" t="n"/>
      <c r="G138" s="21" t="n"/>
    </row>
    <row r="139">
      <c r="A139" s="18" t="n"/>
      <c r="B139" s="19" t="n"/>
      <c r="C139" s="19" t="n"/>
      <c r="D139" s="20">
        <f>IF(OR(B139="",C139=""),"",(C139-B139)*24)</f>
        <v/>
      </c>
      <c r="E139" s="21" t="n"/>
      <c r="F139" s="21" t="n"/>
      <c r="G139" s="21" t="n"/>
    </row>
    <row r="140">
      <c r="A140" s="18" t="n"/>
      <c r="B140" s="19" t="n"/>
      <c r="C140" s="19" t="n"/>
      <c r="D140" s="20">
        <f>IF(OR(B140="",C140=""),"",(C140-B140)*24)</f>
        <v/>
      </c>
      <c r="E140" s="21" t="n"/>
      <c r="F140" s="21" t="n"/>
      <c r="G140" s="21" t="n"/>
    </row>
    <row r="141">
      <c r="A141" s="18" t="n"/>
      <c r="B141" s="19" t="n"/>
      <c r="C141" s="19" t="n"/>
      <c r="D141" s="20">
        <f>IF(OR(B141="",C141=""),"",(C141-B141)*24)</f>
        <v/>
      </c>
      <c r="E141" s="21" t="n"/>
      <c r="F141" s="21" t="n"/>
      <c r="G141" s="21" t="n"/>
    </row>
    <row r="142">
      <c r="A142" s="18" t="n"/>
      <c r="B142" s="19" t="n"/>
      <c r="C142" s="19" t="n"/>
      <c r="D142" s="20">
        <f>IF(OR(B142="",C142=""),"",(C142-B142)*24)</f>
        <v/>
      </c>
      <c r="E142" s="21" t="n"/>
      <c r="F142" s="21" t="n"/>
      <c r="G142" s="21" t="n"/>
    </row>
    <row r="143">
      <c r="A143" s="18" t="n"/>
      <c r="B143" s="19" t="n"/>
      <c r="C143" s="19" t="n"/>
      <c r="D143" s="20">
        <f>IF(OR(B143="",C143=""),"",(C143-B143)*24)</f>
        <v/>
      </c>
      <c r="E143" s="21" t="n"/>
      <c r="F143" s="21" t="n"/>
      <c r="G143" s="21" t="n"/>
    </row>
    <row r="144">
      <c r="A144" s="18" t="n"/>
      <c r="B144" s="19" t="n"/>
      <c r="C144" s="19" t="n"/>
      <c r="D144" s="20">
        <f>IF(OR(B144="",C144=""),"",(C144-B144)*24)</f>
        <v/>
      </c>
      <c r="E144" s="21" t="n"/>
      <c r="F144" s="21" t="n"/>
      <c r="G144" s="21" t="n"/>
    </row>
    <row r="145">
      <c r="A145" s="18" t="n"/>
      <c r="B145" s="19" t="n"/>
      <c r="C145" s="19" t="n"/>
      <c r="D145" s="20">
        <f>IF(OR(B145="",C145=""),"",(C145-B145)*24)</f>
        <v/>
      </c>
      <c r="E145" s="21" t="n"/>
      <c r="F145" s="21" t="n"/>
      <c r="G145" s="21" t="n"/>
    </row>
    <row r="146">
      <c r="A146" s="18" t="n"/>
      <c r="B146" s="19" t="n"/>
      <c r="C146" s="19" t="n"/>
      <c r="D146" s="20">
        <f>IF(OR(B146="",C146=""),"",(C146-B146)*24)</f>
        <v/>
      </c>
      <c r="E146" s="21" t="n"/>
      <c r="F146" s="21" t="n"/>
      <c r="G146" s="21" t="n"/>
    </row>
    <row r="147">
      <c r="A147" s="18" t="n"/>
      <c r="B147" s="19" t="n"/>
      <c r="C147" s="19" t="n"/>
      <c r="D147" s="20">
        <f>IF(OR(B147="",C147=""),"",(C147-B147)*24)</f>
        <v/>
      </c>
      <c r="E147" s="21" t="n"/>
      <c r="F147" s="21" t="n"/>
      <c r="G147" s="21" t="n"/>
    </row>
    <row r="148">
      <c r="A148" s="18" t="n"/>
      <c r="B148" s="19" t="n"/>
      <c r="C148" s="19" t="n"/>
      <c r="D148" s="20">
        <f>IF(OR(B148="",C148=""),"",(C148-B148)*24)</f>
        <v/>
      </c>
      <c r="E148" s="21" t="n"/>
      <c r="F148" s="21" t="n"/>
      <c r="G148" s="21" t="n"/>
    </row>
    <row r="149">
      <c r="A149" s="18" t="n"/>
      <c r="B149" s="19" t="n"/>
      <c r="C149" s="19" t="n"/>
      <c r="D149" s="20">
        <f>IF(OR(B149="",C149=""),"",(C149-B149)*24)</f>
        <v/>
      </c>
      <c r="E149" s="21" t="n"/>
      <c r="F149" s="21" t="n"/>
      <c r="G149" s="21" t="n"/>
    </row>
    <row r="150">
      <c r="A150" s="18" t="n"/>
      <c r="B150" s="19" t="n"/>
      <c r="C150" s="19" t="n"/>
      <c r="D150" s="20">
        <f>IF(OR(B150="",C150=""),"",(C150-B150)*24)</f>
        <v/>
      </c>
      <c r="E150" s="21" t="n"/>
      <c r="F150" s="21" t="n"/>
      <c r="G150" s="21" t="n"/>
    </row>
    <row r="151">
      <c r="A151" s="18" t="n"/>
      <c r="B151" s="19" t="n"/>
      <c r="C151" s="19" t="n"/>
      <c r="D151" s="20">
        <f>IF(OR(B151="",C151=""),"",(C151-B151)*24)</f>
        <v/>
      </c>
      <c r="E151" s="21" t="n"/>
      <c r="F151" s="21" t="n"/>
      <c r="G151" s="21" t="n"/>
    </row>
    <row r="152">
      <c r="A152" s="18" t="n"/>
      <c r="B152" s="19" t="n"/>
      <c r="C152" s="19" t="n"/>
      <c r="D152" s="20">
        <f>IF(OR(B152="",C152=""),"",(C152-B152)*24)</f>
        <v/>
      </c>
      <c r="E152" s="21" t="n"/>
      <c r="F152" s="21" t="n"/>
      <c r="G152" s="21" t="n"/>
    </row>
    <row r="153">
      <c r="A153" s="18" t="n"/>
      <c r="B153" s="19" t="n"/>
      <c r="C153" s="19" t="n"/>
      <c r="D153" s="20">
        <f>IF(OR(B153="",C153=""),"",(C153-B153)*24)</f>
        <v/>
      </c>
      <c r="E153" s="21" t="n"/>
      <c r="F153" s="21" t="n"/>
      <c r="G153" s="21" t="n"/>
    </row>
    <row r="154">
      <c r="A154" s="18" t="n"/>
      <c r="B154" s="19" t="n"/>
      <c r="C154" s="19" t="n"/>
      <c r="D154" s="20">
        <f>IF(OR(B154="",C154=""),"",(C154-B154)*24)</f>
        <v/>
      </c>
      <c r="E154" s="21" t="n"/>
      <c r="F154" s="21" t="n"/>
      <c r="G154" s="21" t="n"/>
    </row>
    <row r="155">
      <c r="A155" s="18" t="n"/>
      <c r="B155" s="19" t="n"/>
      <c r="C155" s="19" t="n"/>
      <c r="D155" s="20">
        <f>IF(OR(B155="",C155=""),"",(C155-B155)*24)</f>
        <v/>
      </c>
      <c r="E155" s="21" t="n"/>
      <c r="F155" s="21" t="n"/>
      <c r="G155" s="21" t="n"/>
    </row>
    <row r="156">
      <c r="A156" s="18" t="n"/>
      <c r="B156" s="19" t="n"/>
      <c r="C156" s="19" t="n"/>
      <c r="D156" s="20">
        <f>IF(OR(B156="",C156=""),"",(C156-B156)*24)</f>
        <v/>
      </c>
      <c r="E156" s="21" t="n"/>
      <c r="F156" s="21" t="n"/>
      <c r="G156" s="21" t="n"/>
    </row>
    <row r="157">
      <c r="A157" s="18" t="n"/>
      <c r="B157" s="19" t="n"/>
      <c r="C157" s="19" t="n"/>
      <c r="D157" s="20">
        <f>IF(OR(B157="",C157=""),"",(C157-B157)*24)</f>
        <v/>
      </c>
      <c r="E157" s="21" t="n"/>
      <c r="F157" s="21" t="n"/>
      <c r="G157" s="21" t="n"/>
    </row>
    <row r="158">
      <c r="A158" s="18" t="n"/>
      <c r="B158" s="19" t="n"/>
      <c r="C158" s="19" t="n"/>
      <c r="D158" s="20">
        <f>IF(OR(B158="",C158=""),"",(C158-B158)*24)</f>
        <v/>
      </c>
      <c r="E158" s="21" t="n"/>
      <c r="F158" s="21" t="n"/>
      <c r="G158" s="21" t="n"/>
    </row>
    <row r="159">
      <c r="A159" s="18" t="n"/>
      <c r="B159" s="19" t="n"/>
      <c r="C159" s="19" t="n"/>
      <c r="D159" s="20">
        <f>IF(OR(B159="",C159=""),"",(C159-B159)*24)</f>
        <v/>
      </c>
      <c r="E159" s="21" t="n"/>
      <c r="F159" s="21" t="n"/>
      <c r="G159" s="21" t="n"/>
    </row>
    <row r="160">
      <c r="A160" s="18" t="n"/>
      <c r="B160" s="19" t="n"/>
      <c r="C160" s="19" t="n"/>
      <c r="D160" s="20">
        <f>IF(OR(B160="",C160=""),"",(C160-B160)*24)</f>
        <v/>
      </c>
      <c r="E160" s="21" t="n"/>
      <c r="F160" s="21" t="n"/>
      <c r="G160" s="21" t="n"/>
    </row>
    <row r="161">
      <c r="A161" s="18" t="n"/>
      <c r="B161" s="19" t="n"/>
      <c r="C161" s="19" t="n"/>
      <c r="D161" s="20">
        <f>IF(OR(B161="",C161=""),"",(C161-B161)*24)</f>
        <v/>
      </c>
      <c r="E161" s="21" t="n"/>
      <c r="F161" s="21" t="n"/>
      <c r="G161" s="21" t="n"/>
    </row>
    <row r="162">
      <c r="A162" s="18" t="n"/>
      <c r="B162" s="19" t="n"/>
      <c r="C162" s="19" t="n"/>
      <c r="D162" s="20">
        <f>IF(OR(B162="",C162=""),"",(C162-B162)*24)</f>
        <v/>
      </c>
      <c r="E162" s="21" t="n"/>
      <c r="F162" s="21" t="n"/>
      <c r="G162" s="21" t="n"/>
    </row>
    <row r="163">
      <c r="A163" s="18" t="n"/>
      <c r="B163" s="19" t="n"/>
      <c r="C163" s="19" t="n"/>
      <c r="D163" s="20">
        <f>IF(OR(B163="",C163=""),"",(C163-B163)*24)</f>
        <v/>
      </c>
      <c r="E163" s="21" t="n"/>
      <c r="F163" s="21" t="n"/>
      <c r="G163" s="21" t="n"/>
    </row>
    <row r="164">
      <c r="A164" s="18" t="n"/>
      <c r="B164" s="19" t="n"/>
      <c r="C164" s="19" t="n"/>
      <c r="D164" s="20">
        <f>IF(OR(B164="",C164=""),"",(C164-B164)*24)</f>
        <v/>
      </c>
      <c r="E164" s="21" t="n"/>
      <c r="F164" s="21" t="n"/>
      <c r="G164" s="21" t="n"/>
    </row>
    <row r="165">
      <c r="A165" s="18" t="n"/>
      <c r="B165" s="19" t="n"/>
      <c r="C165" s="19" t="n"/>
      <c r="D165" s="20">
        <f>IF(OR(B165="",C165=""),"",(C165-B165)*24)</f>
        <v/>
      </c>
      <c r="E165" s="21" t="n"/>
      <c r="F165" s="21" t="n"/>
      <c r="G165" s="21" t="n"/>
    </row>
    <row r="166">
      <c r="A166" s="18" t="n"/>
      <c r="B166" s="19" t="n"/>
      <c r="C166" s="19" t="n"/>
      <c r="D166" s="20">
        <f>IF(OR(B166="",C166=""),"",(C166-B166)*24)</f>
        <v/>
      </c>
      <c r="E166" s="21" t="n"/>
      <c r="F166" s="21" t="n"/>
      <c r="G166" s="21" t="n"/>
    </row>
    <row r="167">
      <c r="A167" s="18" t="n"/>
      <c r="B167" s="19" t="n"/>
      <c r="C167" s="19" t="n"/>
      <c r="D167" s="20">
        <f>IF(OR(B167="",C167=""),"",(C167-B167)*24)</f>
        <v/>
      </c>
      <c r="E167" s="21" t="n"/>
      <c r="F167" s="21" t="n"/>
      <c r="G167" s="21" t="n"/>
    </row>
    <row r="168">
      <c r="A168" s="18" t="n"/>
      <c r="B168" s="19" t="n"/>
      <c r="C168" s="19" t="n"/>
      <c r="D168" s="20">
        <f>IF(OR(B168="",C168=""),"",(C168-B168)*24)</f>
        <v/>
      </c>
      <c r="E168" s="21" t="n"/>
      <c r="F168" s="21" t="n"/>
      <c r="G168" s="21" t="n"/>
    </row>
    <row r="169">
      <c r="A169" s="18" t="n"/>
      <c r="B169" s="19" t="n"/>
      <c r="C169" s="19" t="n"/>
      <c r="D169" s="20">
        <f>IF(OR(B169="",C169=""),"",(C169-B169)*24)</f>
        <v/>
      </c>
      <c r="E169" s="21" t="n"/>
      <c r="F169" s="21" t="n"/>
      <c r="G169" s="21" t="n"/>
    </row>
    <row r="170">
      <c r="A170" s="18" t="n"/>
      <c r="B170" s="19" t="n"/>
      <c r="C170" s="19" t="n"/>
      <c r="D170" s="20">
        <f>IF(OR(B170="",C170=""),"",(C170-B170)*24)</f>
        <v/>
      </c>
      <c r="E170" s="21" t="n"/>
      <c r="F170" s="21" t="n"/>
      <c r="G170" s="21" t="n"/>
    </row>
    <row r="171">
      <c r="A171" s="18" t="n"/>
      <c r="B171" s="19" t="n"/>
      <c r="C171" s="19" t="n"/>
      <c r="D171" s="20">
        <f>IF(OR(B171="",C171=""),"",(C171-B171)*24)</f>
        <v/>
      </c>
      <c r="E171" s="21" t="n"/>
      <c r="F171" s="21" t="n"/>
      <c r="G171" s="21" t="n"/>
    </row>
    <row r="172">
      <c r="A172" s="18" t="n"/>
      <c r="B172" s="19" t="n"/>
      <c r="C172" s="19" t="n"/>
      <c r="D172" s="20">
        <f>IF(OR(B172="",C172=""),"",(C172-B172)*24)</f>
        <v/>
      </c>
      <c r="E172" s="21" t="n"/>
      <c r="F172" s="21" t="n"/>
      <c r="G172" s="21" t="n"/>
    </row>
    <row r="173">
      <c r="A173" s="18" t="n"/>
      <c r="B173" s="19" t="n"/>
      <c r="C173" s="19" t="n"/>
      <c r="D173" s="20">
        <f>IF(OR(B173="",C173=""),"",(C173-B173)*24)</f>
        <v/>
      </c>
      <c r="E173" s="21" t="n"/>
      <c r="F173" s="21" t="n"/>
      <c r="G173" s="21" t="n"/>
    </row>
    <row r="174">
      <c r="A174" s="18" t="n"/>
      <c r="B174" s="19" t="n"/>
      <c r="C174" s="19" t="n"/>
      <c r="D174" s="20">
        <f>IF(OR(B174="",C174=""),"",(C174-B174)*24)</f>
        <v/>
      </c>
      <c r="E174" s="21" t="n"/>
      <c r="F174" s="21" t="n"/>
      <c r="G174" s="21" t="n"/>
    </row>
    <row r="175">
      <c r="A175" s="18" t="n"/>
      <c r="B175" s="19" t="n"/>
      <c r="C175" s="19" t="n"/>
      <c r="D175" s="20">
        <f>IF(OR(B175="",C175=""),"",(C175-B175)*24)</f>
        <v/>
      </c>
      <c r="E175" s="21" t="n"/>
      <c r="F175" s="21" t="n"/>
      <c r="G175" s="21" t="n"/>
    </row>
    <row r="176">
      <c r="A176" s="18" t="n"/>
      <c r="B176" s="19" t="n"/>
      <c r="C176" s="19" t="n"/>
      <c r="D176" s="20">
        <f>IF(OR(B176="",C176=""),"",(C176-B176)*24)</f>
        <v/>
      </c>
      <c r="E176" s="21" t="n"/>
      <c r="F176" s="21" t="n"/>
      <c r="G176" s="21" t="n"/>
    </row>
    <row r="177">
      <c r="A177" s="18" t="n"/>
      <c r="B177" s="19" t="n"/>
      <c r="C177" s="19" t="n"/>
      <c r="D177" s="20">
        <f>IF(OR(B177="",C177=""),"",(C177-B177)*24)</f>
        <v/>
      </c>
      <c r="E177" s="21" t="n"/>
      <c r="F177" s="21" t="n"/>
      <c r="G177" s="21" t="n"/>
    </row>
    <row r="178">
      <c r="A178" s="18" t="n"/>
      <c r="B178" s="19" t="n"/>
      <c r="C178" s="19" t="n"/>
      <c r="D178" s="20">
        <f>IF(OR(B178="",C178=""),"",(C178-B178)*24)</f>
        <v/>
      </c>
      <c r="E178" s="21" t="n"/>
      <c r="F178" s="21" t="n"/>
      <c r="G178" s="21" t="n"/>
    </row>
    <row r="179">
      <c r="A179" s="18" t="n"/>
      <c r="B179" s="19" t="n"/>
      <c r="C179" s="19" t="n"/>
      <c r="D179" s="20">
        <f>IF(OR(B179="",C179=""),"",(C179-B179)*24)</f>
        <v/>
      </c>
      <c r="E179" s="21" t="n"/>
      <c r="F179" s="21" t="n"/>
      <c r="G179" s="21" t="n"/>
    </row>
    <row r="180">
      <c r="A180" s="18" t="n"/>
      <c r="B180" s="19" t="n"/>
      <c r="C180" s="19" t="n"/>
      <c r="D180" s="20">
        <f>IF(OR(B180="",C180=""),"",(C180-B180)*24)</f>
        <v/>
      </c>
      <c r="E180" s="21" t="n"/>
      <c r="F180" s="21" t="n"/>
      <c r="G180" s="21" t="n"/>
    </row>
    <row r="181">
      <c r="A181" s="18" t="n"/>
      <c r="B181" s="19" t="n"/>
      <c r="C181" s="19" t="n"/>
      <c r="D181" s="20">
        <f>IF(OR(B181="",C181=""),"",(C181-B181)*24)</f>
        <v/>
      </c>
      <c r="E181" s="21" t="n"/>
      <c r="F181" s="21" t="n"/>
      <c r="G181" s="21" t="n"/>
    </row>
    <row r="182">
      <c r="A182" s="18" t="n"/>
      <c r="B182" s="19" t="n"/>
      <c r="C182" s="19" t="n"/>
      <c r="D182" s="20">
        <f>IF(OR(B182="",C182=""),"",(C182-B182)*24)</f>
        <v/>
      </c>
      <c r="E182" s="21" t="n"/>
      <c r="F182" s="21" t="n"/>
      <c r="G182" s="21" t="n"/>
    </row>
    <row r="183">
      <c r="A183" s="18" t="n"/>
      <c r="B183" s="19" t="n"/>
      <c r="C183" s="19" t="n"/>
      <c r="D183" s="20">
        <f>IF(OR(B183="",C183=""),"",(C183-B183)*24)</f>
        <v/>
      </c>
      <c r="E183" s="21" t="n"/>
      <c r="F183" s="21" t="n"/>
      <c r="G183" s="21" t="n"/>
    </row>
    <row r="184">
      <c r="A184" s="18" t="n"/>
      <c r="B184" s="19" t="n"/>
      <c r="C184" s="19" t="n"/>
      <c r="D184" s="20">
        <f>IF(OR(B184="",C184=""),"",(C184-B184)*24)</f>
        <v/>
      </c>
      <c r="E184" s="21" t="n"/>
      <c r="F184" s="21" t="n"/>
      <c r="G184" s="21" t="n"/>
    </row>
    <row r="185">
      <c r="A185" s="18" t="n"/>
      <c r="B185" s="19" t="n"/>
      <c r="C185" s="19" t="n"/>
      <c r="D185" s="20">
        <f>IF(OR(B185="",C185=""),"",(C185-B185)*24)</f>
        <v/>
      </c>
      <c r="E185" s="21" t="n"/>
      <c r="F185" s="21" t="n"/>
      <c r="G185" s="21" t="n"/>
    </row>
    <row r="186">
      <c r="A186" s="18" t="n"/>
      <c r="B186" s="19" t="n"/>
      <c r="C186" s="19" t="n"/>
      <c r="D186" s="20">
        <f>IF(OR(B186="",C186=""),"",(C186-B186)*24)</f>
        <v/>
      </c>
      <c r="E186" s="21" t="n"/>
      <c r="F186" s="21" t="n"/>
      <c r="G186" s="21" t="n"/>
    </row>
    <row r="187">
      <c r="A187" s="18" t="n"/>
      <c r="B187" s="19" t="n"/>
      <c r="C187" s="19" t="n"/>
      <c r="D187" s="20">
        <f>IF(OR(B187="",C187=""),"",(C187-B187)*24)</f>
        <v/>
      </c>
      <c r="E187" s="21" t="n"/>
      <c r="F187" s="21" t="n"/>
      <c r="G187" s="21" t="n"/>
    </row>
    <row r="188">
      <c r="A188" s="18" t="n"/>
      <c r="B188" s="19" t="n"/>
      <c r="C188" s="19" t="n"/>
      <c r="D188" s="20">
        <f>IF(OR(B188="",C188=""),"",(C188-B188)*24)</f>
        <v/>
      </c>
      <c r="E188" s="21" t="n"/>
      <c r="F188" s="21" t="n"/>
      <c r="G188" s="21" t="n"/>
    </row>
    <row r="189">
      <c r="A189" s="18" t="n"/>
      <c r="B189" s="19" t="n"/>
      <c r="C189" s="19" t="n"/>
      <c r="D189" s="20">
        <f>IF(OR(B189="",C189=""),"",(C189-B189)*24)</f>
        <v/>
      </c>
      <c r="E189" s="21" t="n"/>
      <c r="F189" s="21" t="n"/>
      <c r="G189" s="21" t="n"/>
    </row>
    <row r="190">
      <c r="A190" s="18" t="n"/>
      <c r="B190" s="19" t="n"/>
      <c r="C190" s="19" t="n"/>
      <c r="D190" s="20">
        <f>IF(OR(B190="",C190=""),"",(C190-B190)*24)</f>
        <v/>
      </c>
      <c r="E190" s="21" t="n"/>
      <c r="F190" s="21" t="n"/>
      <c r="G190" s="21" t="n"/>
    </row>
    <row r="191">
      <c r="A191" s="18" t="n"/>
      <c r="B191" s="19" t="n"/>
      <c r="C191" s="19" t="n"/>
      <c r="D191" s="20">
        <f>IF(OR(B191="",C191=""),"",(C191-B191)*24)</f>
        <v/>
      </c>
      <c r="E191" s="21" t="n"/>
      <c r="F191" s="21" t="n"/>
      <c r="G191" s="21" t="n"/>
    </row>
    <row r="192">
      <c r="A192" s="18" t="n"/>
      <c r="B192" s="19" t="n"/>
      <c r="C192" s="19" t="n"/>
      <c r="D192" s="20">
        <f>IF(OR(B192="",C192=""),"",(C192-B192)*24)</f>
        <v/>
      </c>
      <c r="E192" s="21" t="n"/>
      <c r="F192" s="21" t="n"/>
      <c r="G192" s="21" t="n"/>
    </row>
    <row r="193">
      <c r="A193" s="18" t="n"/>
      <c r="B193" s="19" t="n"/>
      <c r="C193" s="19" t="n"/>
      <c r="D193" s="20">
        <f>IF(OR(B193="",C193=""),"",(C193-B193)*24)</f>
        <v/>
      </c>
      <c r="E193" s="21" t="n"/>
      <c r="F193" s="21" t="n"/>
      <c r="G193" s="21" t="n"/>
    </row>
    <row r="194">
      <c r="A194" s="18" t="n"/>
      <c r="B194" s="19" t="n"/>
      <c r="C194" s="19" t="n"/>
      <c r="D194" s="20">
        <f>IF(OR(B194="",C194=""),"",(C194-B194)*24)</f>
        <v/>
      </c>
      <c r="E194" s="21" t="n"/>
      <c r="F194" s="21" t="n"/>
      <c r="G194" s="21" t="n"/>
    </row>
    <row r="195">
      <c r="A195" s="18" t="n"/>
      <c r="B195" s="19" t="n"/>
      <c r="C195" s="19" t="n"/>
      <c r="D195" s="20">
        <f>IF(OR(B195="",C195=""),"",(C195-B195)*24)</f>
        <v/>
      </c>
      <c r="E195" s="21" t="n"/>
      <c r="F195" s="21" t="n"/>
      <c r="G195" s="21" t="n"/>
    </row>
    <row r="196">
      <c r="A196" s="18" t="n"/>
      <c r="B196" s="19" t="n"/>
      <c r="C196" s="19" t="n"/>
      <c r="D196" s="20">
        <f>IF(OR(B196="",C196=""),"",(C196-B196)*24)</f>
        <v/>
      </c>
      <c r="E196" s="21" t="n"/>
      <c r="F196" s="21" t="n"/>
      <c r="G196" s="21" t="n"/>
    </row>
    <row r="197">
      <c r="A197" s="18" t="n"/>
      <c r="B197" s="19" t="n"/>
      <c r="C197" s="19" t="n"/>
      <c r="D197" s="20">
        <f>IF(OR(B197="",C197=""),"",(C197-B197)*24)</f>
        <v/>
      </c>
      <c r="E197" s="21" t="n"/>
      <c r="F197" s="21" t="n"/>
      <c r="G197" s="21" t="n"/>
    </row>
    <row r="198">
      <c r="A198" s="18" t="n"/>
      <c r="B198" s="19" t="n"/>
      <c r="C198" s="19" t="n"/>
      <c r="D198" s="20">
        <f>IF(OR(B198="",C198=""),"",(C198-B198)*24)</f>
        <v/>
      </c>
      <c r="E198" s="21" t="n"/>
      <c r="F198" s="21" t="n"/>
      <c r="G198" s="21" t="n"/>
    </row>
    <row r="199">
      <c r="A199" s="18" t="n"/>
      <c r="B199" s="19" t="n"/>
      <c r="C199" s="19" t="n"/>
      <c r="D199" s="20">
        <f>IF(OR(B199="",C199=""),"",(C199-B199)*24)</f>
        <v/>
      </c>
      <c r="E199" s="21" t="n"/>
      <c r="F199" s="21" t="n"/>
      <c r="G199" s="21" t="n"/>
    </row>
    <row r="200">
      <c r="A200" s="18" t="n"/>
      <c r="B200" s="19" t="n"/>
      <c r="C200" s="19" t="n"/>
      <c r="D200" s="20">
        <f>IF(OR(B200="",C200=""),"",(C200-B200)*24)</f>
        <v/>
      </c>
      <c r="E200" s="21" t="n"/>
      <c r="F200" s="21" t="n"/>
      <c r="G200" s="21" t="n"/>
    </row>
    <row r="201">
      <c r="A201" s="18" t="n"/>
      <c r="B201" s="19" t="n"/>
      <c r="C201" s="19" t="n"/>
      <c r="D201" s="20">
        <f>IF(OR(B201="",C201=""),"",(C201-B201)*24)</f>
        <v/>
      </c>
      <c r="E201" s="21" t="n"/>
      <c r="F201" s="21" t="n"/>
      <c r="G201" s="21" t="n"/>
    </row>
    <row r="202">
      <c r="A202" s="18" t="n"/>
      <c r="B202" s="19" t="n"/>
      <c r="C202" s="19" t="n"/>
      <c r="D202" s="20">
        <f>IF(OR(B202="",C202=""),"",(C202-B202)*24)</f>
        <v/>
      </c>
      <c r="E202" s="21" t="n"/>
      <c r="F202" s="21" t="n"/>
      <c r="G202" s="21" t="n"/>
    </row>
    <row r="203">
      <c r="A203" s="18" t="n"/>
      <c r="B203" s="19" t="n"/>
      <c r="C203" s="19" t="n"/>
      <c r="D203" s="20">
        <f>IF(OR(B203="",C203=""),"",(C203-B203)*24)</f>
        <v/>
      </c>
      <c r="E203" s="21" t="n"/>
      <c r="F203" s="21" t="n"/>
      <c r="G203" s="21" t="n"/>
    </row>
    <row r="204">
      <c r="A204" s="18" t="n"/>
      <c r="B204" s="19" t="n"/>
      <c r="C204" s="19" t="n"/>
      <c r="D204" s="20">
        <f>IF(OR(B204="",C204=""),"",(C204-B204)*24)</f>
        <v/>
      </c>
      <c r="E204" s="21" t="n"/>
      <c r="F204" s="21" t="n"/>
      <c r="G204" s="21" t="n"/>
    </row>
    <row r="205">
      <c r="A205" s="18" t="n"/>
      <c r="B205" s="19" t="n"/>
      <c r="C205" s="19" t="n"/>
      <c r="D205" s="20">
        <f>IF(OR(B205="",C205=""),"",(C205-B205)*24)</f>
        <v/>
      </c>
      <c r="E205" s="21" t="n"/>
      <c r="F205" s="21" t="n"/>
      <c r="G205" s="21" t="n"/>
    </row>
    <row r="206">
      <c r="A206" s="18" t="n"/>
      <c r="B206" s="19" t="n"/>
      <c r="C206" s="19" t="n"/>
      <c r="D206" s="20">
        <f>IF(OR(B206="",C206=""),"",(C206-B206)*24)</f>
        <v/>
      </c>
      <c r="E206" s="21" t="n"/>
      <c r="F206" s="21" t="n"/>
      <c r="G206" s="21" t="n"/>
    </row>
    <row r="207">
      <c r="A207" s="18" t="n"/>
      <c r="B207" s="19" t="n"/>
      <c r="C207" s="19" t="n"/>
      <c r="D207" s="20">
        <f>IF(OR(B207="",C207=""),"",(C207-B207)*24)</f>
        <v/>
      </c>
      <c r="E207" s="21" t="n"/>
      <c r="F207" s="21" t="n"/>
      <c r="G207" s="21" t="n"/>
    </row>
    <row r="208">
      <c r="A208" s="18" t="n"/>
      <c r="B208" s="19" t="n"/>
      <c r="C208" s="19" t="n"/>
      <c r="D208" s="20">
        <f>IF(OR(B208="",C208=""),"",(C208-B208)*24)</f>
        <v/>
      </c>
      <c r="E208" s="21" t="n"/>
      <c r="F208" s="21" t="n"/>
      <c r="G208" s="21" t="n"/>
    </row>
    <row r="209">
      <c r="A209" s="18" t="n"/>
      <c r="B209" s="19" t="n"/>
      <c r="C209" s="19" t="n"/>
      <c r="D209" s="20">
        <f>IF(OR(B209="",C209=""),"",(C209-B209)*24)</f>
        <v/>
      </c>
      <c r="E209" s="21" t="n"/>
      <c r="F209" s="21" t="n"/>
      <c r="G209" s="21" t="n"/>
    </row>
    <row r="210">
      <c r="A210" s="18" t="n"/>
      <c r="B210" s="19" t="n"/>
      <c r="C210" s="19" t="n"/>
      <c r="D210" s="20">
        <f>IF(OR(B210="",C210=""),"",(C210-B210)*24)</f>
        <v/>
      </c>
      <c r="E210" s="21" t="n"/>
      <c r="F210" s="21" t="n"/>
      <c r="G210" s="21" t="n"/>
    </row>
    <row r="211">
      <c r="A211" s="18" t="n"/>
      <c r="B211" s="19" t="n"/>
      <c r="C211" s="19" t="n"/>
      <c r="D211" s="20">
        <f>IF(OR(B211="",C211=""),"",(C211-B211)*24)</f>
        <v/>
      </c>
      <c r="E211" s="21" t="n"/>
      <c r="F211" s="21" t="n"/>
      <c r="G211" s="21" t="n"/>
    </row>
    <row r="212">
      <c r="A212" s="18" t="n"/>
      <c r="B212" s="19" t="n"/>
      <c r="C212" s="19" t="n"/>
      <c r="D212" s="20">
        <f>IF(OR(B212="",C212=""),"",(C212-B212)*24)</f>
        <v/>
      </c>
      <c r="E212" s="21" t="n"/>
      <c r="F212" s="21" t="n"/>
      <c r="G212" s="21" t="n"/>
    </row>
    <row r="213">
      <c r="A213" s="18" t="n"/>
      <c r="B213" s="19" t="n"/>
      <c r="C213" s="19" t="n"/>
      <c r="D213" s="20">
        <f>IF(OR(B213="",C213=""),"",(C213-B213)*24)</f>
        <v/>
      </c>
      <c r="E213" s="21" t="n"/>
      <c r="F213" s="21" t="n"/>
      <c r="G213" s="21" t="n"/>
    </row>
    <row r="214">
      <c r="A214" s="18" t="n"/>
      <c r="B214" s="19" t="n"/>
      <c r="C214" s="19" t="n"/>
      <c r="D214" s="20">
        <f>IF(OR(B214="",C214=""),"",(C214-B214)*24)</f>
        <v/>
      </c>
      <c r="E214" s="21" t="n"/>
      <c r="F214" s="21" t="n"/>
      <c r="G214" s="21" t="n"/>
    </row>
    <row r="215">
      <c r="A215" s="18" t="n"/>
      <c r="B215" s="19" t="n"/>
      <c r="C215" s="19" t="n"/>
      <c r="D215" s="20">
        <f>IF(OR(B215="",C215=""),"",(C215-B215)*24)</f>
        <v/>
      </c>
      <c r="E215" s="21" t="n"/>
      <c r="F215" s="21" t="n"/>
      <c r="G215" s="21" t="n"/>
    </row>
    <row r="216">
      <c r="A216" s="18" t="n"/>
      <c r="B216" s="19" t="n"/>
      <c r="C216" s="19" t="n"/>
      <c r="D216" s="20">
        <f>IF(OR(B216="",C216=""),"",(C216-B216)*24)</f>
        <v/>
      </c>
      <c r="E216" s="21" t="n"/>
      <c r="F216" s="21" t="n"/>
      <c r="G216" s="21" t="n"/>
    </row>
    <row r="217">
      <c r="A217" s="18" t="n"/>
      <c r="B217" s="19" t="n"/>
      <c r="C217" s="19" t="n"/>
      <c r="D217" s="20">
        <f>IF(OR(B217="",C217=""),"",(C217-B217)*24)</f>
        <v/>
      </c>
      <c r="E217" s="21" t="n"/>
      <c r="F217" s="21" t="n"/>
      <c r="G217" s="21" t="n"/>
    </row>
    <row r="218">
      <c r="A218" s="18" t="n"/>
      <c r="B218" s="19" t="n"/>
      <c r="C218" s="19" t="n"/>
      <c r="D218" s="20">
        <f>IF(OR(B218="",C218=""),"",(C218-B218)*24)</f>
        <v/>
      </c>
      <c r="E218" s="21" t="n"/>
      <c r="F218" s="21" t="n"/>
      <c r="G218" s="21" t="n"/>
    </row>
    <row r="219">
      <c r="A219" s="18" t="n"/>
      <c r="B219" s="19" t="n"/>
      <c r="C219" s="19" t="n"/>
      <c r="D219" s="20">
        <f>IF(OR(B219="",C219=""),"",(C219-B219)*24)</f>
        <v/>
      </c>
      <c r="E219" s="21" t="n"/>
      <c r="F219" s="21" t="n"/>
      <c r="G219" s="21" t="n"/>
    </row>
    <row r="220">
      <c r="A220" s="18" t="n"/>
      <c r="B220" s="19" t="n"/>
      <c r="C220" s="19" t="n"/>
      <c r="D220" s="20">
        <f>IF(OR(B220="",C220=""),"",(C220-B220)*24)</f>
        <v/>
      </c>
      <c r="E220" s="21" t="n"/>
      <c r="F220" s="21" t="n"/>
      <c r="G220" s="21" t="n"/>
    </row>
    <row r="221">
      <c r="A221" s="18" t="n"/>
      <c r="B221" s="19" t="n"/>
      <c r="C221" s="19" t="n"/>
      <c r="D221" s="20">
        <f>IF(OR(B221="",C221=""),"",(C221-B221)*24)</f>
        <v/>
      </c>
      <c r="E221" s="21" t="n"/>
      <c r="F221" s="21" t="n"/>
      <c r="G221" s="21" t="n"/>
    </row>
    <row r="222">
      <c r="A222" s="18" t="n"/>
      <c r="B222" s="19" t="n"/>
      <c r="C222" s="19" t="n"/>
      <c r="D222" s="20">
        <f>IF(OR(B222="",C222=""),"",(C222-B222)*24)</f>
        <v/>
      </c>
      <c r="E222" s="21" t="n"/>
      <c r="F222" s="21" t="n"/>
      <c r="G222" s="21" t="n"/>
    </row>
    <row r="223">
      <c r="A223" s="18" t="n"/>
      <c r="B223" s="19" t="n"/>
      <c r="C223" s="19" t="n"/>
      <c r="D223" s="20">
        <f>IF(OR(B223="",C223=""),"",(C223-B223)*24)</f>
        <v/>
      </c>
      <c r="E223" s="21" t="n"/>
      <c r="F223" s="21" t="n"/>
      <c r="G223" s="21" t="n"/>
    </row>
    <row r="224">
      <c r="A224" s="18" t="n"/>
      <c r="B224" s="19" t="n"/>
      <c r="C224" s="19" t="n"/>
      <c r="D224" s="20">
        <f>IF(OR(B224="",C224=""),"",(C224-B224)*24)</f>
        <v/>
      </c>
      <c r="E224" s="21" t="n"/>
      <c r="F224" s="21" t="n"/>
      <c r="G224" s="21" t="n"/>
    </row>
    <row r="225">
      <c r="A225" s="18" t="n"/>
      <c r="B225" s="19" t="n"/>
      <c r="C225" s="19" t="n"/>
      <c r="D225" s="20">
        <f>IF(OR(B225="",C225=""),"",(C225-B225)*24)</f>
        <v/>
      </c>
      <c r="E225" s="21" t="n"/>
      <c r="F225" s="21" t="n"/>
      <c r="G225" s="21" t="n"/>
    </row>
    <row r="226">
      <c r="A226" s="18" t="n"/>
      <c r="B226" s="19" t="n"/>
      <c r="C226" s="19" t="n"/>
      <c r="D226" s="20">
        <f>IF(OR(B226="",C226=""),"",(C226-B226)*24)</f>
        <v/>
      </c>
      <c r="E226" s="21" t="n"/>
      <c r="F226" s="21" t="n"/>
      <c r="G226" s="21" t="n"/>
    </row>
    <row r="227">
      <c r="A227" s="18" t="n"/>
      <c r="B227" s="19" t="n"/>
      <c r="C227" s="19" t="n"/>
      <c r="D227" s="20">
        <f>IF(OR(B227="",C227=""),"",(C227-B227)*24)</f>
        <v/>
      </c>
      <c r="E227" s="21" t="n"/>
      <c r="F227" s="21" t="n"/>
      <c r="G227" s="21" t="n"/>
    </row>
    <row r="228">
      <c r="A228" s="18" t="n"/>
      <c r="B228" s="19" t="n"/>
      <c r="C228" s="19" t="n"/>
      <c r="D228" s="20">
        <f>IF(OR(B228="",C228=""),"",(C228-B228)*24)</f>
        <v/>
      </c>
      <c r="E228" s="21" t="n"/>
      <c r="F228" s="21" t="n"/>
      <c r="G228" s="21" t="n"/>
    </row>
    <row r="229">
      <c r="A229" s="18" t="n"/>
      <c r="B229" s="19" t="n"/>
      <c r="C229" s="19" t="n"/>
      <c r="D229" s="20">
        <f>IF(OR(B229="",C229=""),"",(C229-B229)*24)</f>
        <v/>
      </c>
      <c r="E229" s="21" t="n"/>
      <c r="F229" s="21" t="n"/>
      <c r="G229" s="21" t="n"/>
    </row>
    <row r="230">
      <c r="A230" s="18" t="n"/>
      <c r="B230" s="19" t="n"/>
      <c r="C230" s="19" t="n"/>
      <c r="D230" s="20">
        <f>IF(OR(B230="",C230=""),"",(C230-B230)*24)</f>
        <v/>
      </c>
      <c r="E230" s="21" t="n"/>
      <c r="F230" s="21" t="n"/>
      <c r="G230" s="21" t="n"/>
    </row>
    <row r="231">
      <c r="A231" s="18" t="n"/>
      <c r="B231" s="19" t="n"/>
      <c r="C231" s="19" t="n"/>
      <c r="D231" s="20">
        <f>IF(OR(B231="",C231=""),"",(C231-B231)*24)</f>
        <v/>
      </c>
      <c r="E231" s="21" t="n"/>
      <c r="F231" s="21" t="n"/>
      <c r="G231" s="21" t="n"/>
    </row>
    <row r="232">
      <c r="A232" s="18" t="n"/>
      <c r="B232" s="19" t="n"/>
      <c r="C232" s="19" t="n"/>
      <c r="D232" s="20">
        <f>IF(OR(B232="",C232=""),"",(C232-B232)*24)</f>
        <v/>
      </c>
      <c r="E232" s="21" t="n"/>
      <c r="F232" s="21" t="n"/>
      <c r="G232" s="21" t="n"/>
    </row>
    <row r="233">
      <c r="A233" s="18" t="n"/>
      <c r="B233" s="19" t="n"/>
      <c r="C233" s="19" t="n"/>
      <c r="D233" s="20">
        <f>IF(OR(B233="",C233=""),"",(C233-B233)*24)</f>
        <v/>
      </c>
      <c r="E233" s="21" t="n"/>
      <c r="F233" s="21" t="n"/>
      <c r="G233" s="21" t="n"/>
    </row>
    <row r="234">
      <c r="A234" s="18" t="n"/>
      <c r="B234" s="19" t="n"/>
      <c r="C234" s="19" t="n"/>
      <c r="D234" s="20">
        <f>IF(OR(B234="",C234=""),"",(C234-B234)*24)</f>
        <v/>
      </c>
      <c r="E234" s="21" t="n"/>
      <c r="F234" s="21" t="n"/>
      <c r="G234" s="21" t="n"/>
    </row>
    <row r="235">
      <c r="A235" s="18" t="n"/>
      <c r="B235" s="19" t="n"/>
      <c r="C235" s="19" t="n"/>
      <c r="D235" s="20">
        <f>IF(OR(B235="",C235=""),"",(C235-B235)*24)</f>
        <v/>
      </c>
      <c r="E235" s="21" t="n"/>
      <c r="F235" s="21" t="n"/>
      <c r="G235" s="21" t="n"/>
    </row>
    <row r="236">
      <c r="A236" s="18" t="n"/>
      <c r="B236" s="19" t="n"/>
      <c r="C236" s="19" t="n"/>
      <c r="D236" s="20">
        <f>IF(OR(B236="",C236=""),"",(C236-B236)*24)</f>
        <v/>
      </c>
      <c r="E236" s="21" t="n"/>
      <c r="F236" s="21" t="n"/>
      <c r="G236" s="21" t="n"/>
    </row>
    <row r="237">
      <c r="A237" s="18" t="n"/>
      <c r="B237" s="19" t="n"/>
      <c r="C237" s="19" t="n"/>
      <c r="D237" s="20">
        <f>IF(OR(B237="",C237=""),"",(C237-B237)*24)</f>
        <v/>
      </c>
      <c r="E237" s="21" t="n"/>
      <c r="F237" s="21" t="n"/>
      <c r="G237" s="21" t="n"/>
    </row>
    <row r="238">
      <c r="A238" s="18" t="n"/>
      <c r="B238" s="19" t="n"/>
      <c r="C238" s="19" t="n"/>
      <c r="D238" s="20">
        <f>IF(OR(B238="",C238=""),"",(C238-B238)*24)</f>
        <v/>
      </c>
      <c r="E238" s="21" t="n"/>
      <c r="F238" s="21" t="n"/>
      <c r="G238" s="21" t="n"/>
    </row>
    <row r="239">
      <c r="A239" s="18" t="n"/>
      <c r="B239" s="19" t="n"/>
      <c r="C239" s="19" t="n"/>
      <c r="D239" s="20">
        <f>IF(OR(B239="",C239=""),"",(C239-B239)*24)</f>
        <v/>
      </c>
      <c r="E239" s="21" t="n"/>
      <c r="F239" s="21" t="n"/>
      <c r="G239" s="21" t="n"/>
    </row>
    <row r="240">
      <c r="A240" s="18" t="n"/>
      <c r="B240" s="19" t="n"/>
      <c r="C240" s="19" t="n"/>
      <c r="D240" s="20">
        <f>IF(OR(B240="",C240=""),"",(C240-B240)*24)</f>
        <v/>
      </c>
      <c r="E240" s="21" t="n"/>
      <c r="F240" s="21" t="n"/>
      <c r="G240" s="21" t="n"/>
    </row>
    <row r="241">
      <c r="A241" s="18" t="n"/>
      <c r="B241" s="19" t="n"/>
      <c r="C241" s="19" t="n"/>
      <c r="D241" s="20">
        <f>IF(OR(B241="",C241=""),"",(C241-B241)*24)</f>
        <v/>
      </c>
      <c r="E241" s="21" t="n"/>
      <c r="F241" s="21" t="n"/>
      <c r="G241" s="21" t="n"/>
    </row>
    <row r="242">
      <c r="A242" s="18" t="n"/>
      <c r="B242" s="19" t="n"/>
      <c r="C242" s="19" t="n"/>
      <c r="D242" s="20">
        <f>IF(OR(B242="",C242=""),"",(C242-B242)*24)</f>
        <v/>
      </c>
      <c r="E242" s="21" t="n"/>
      <c r="F242" s="21" t="n"/>
      <c r="G242" s="21" t="n"/>
    </row>
    <row r="243">
      <c r="A243" s="18" t="n"/>
      <c r="B243" s="19" t="n"/>
      <c r="C243" s="19" t="n"/>
      <c r="D243" s="20">
        <f>IF(OR(B243="",C243=""),"",(C243-B243)*24)</f>
        <v/>
      </c>
      <c r="E243" s="21" t="n"/>
      <c r="F243" s="21" t="n"/>
      <c r="G243" s="21" t="n"/>
    </row>
    <row r="244">
      <c r="A244" s="18" t="n"/>
      <c r="B244" s="19" t="n"/>
      <c r="C244" s="19" t="n"/>
      <c r="D244" s="20">
        <f>IF(OR(B244="",C244=""),"",(C244-B244)*24)</f>
        <v/>
      </c>
      <c r="E244" s="21" t="n"/>
      <c r="F244" s="21" t="n"/>
      <c r="G244" s="21" t="n"/>
    </row>
    <row r="245">
      <c r="A245" s="18" t="n"/>
      <c r="B245" s="19" t="n"/>
      <c r="C245" s="19" t="n"/>
      <c r="D245" s="20">
        <f>IF(OR(B245="",C245=""),"",(C245-B245)*24)</f>
        <v/>
      </c>
      <c r="E245" s="21" t="n"/>
      <c r="F245" s="21" t="n"/>
      <c r="G245" s="21" t="n"/>
    </row>
    <row r="246">
      <c r="A246" s="18" t="n"/>
      <c r="B246" s="19" t="n"/>
      <c r="C246" s="19" t="n"/>
      <c r="D246" s="20">
        <f>IF(OR(B246="",C246=""),"",(C246-B246)*24)</f>
        <v/>
      </c>
      <c r="E246" s="21" t="n"/>
      <c r="F246" s="21" t="n"/>
      <c r="G246" s="21" t="n"/>
    </row>
    <row r="247">
      <c r="A247" s="18" t="n"/>
      <c r="B247" s="19" t="n"/>
      <c r="C247" s="19" t="n"/>
      <c r="D247" s="20">
        <f>IF(OR(B247="",C247=""),"",(C247-B247)*24)</f>
        <v/>
      </c>
      <c r="E247" s="21" t="n"/>
      <c r="F247" s="21" t="n"/>
      <c r="G247" s="21" t="n"/>
    </row>
    <row r="248">
      <c r="A248" s="18" t="n"/>
      <c r="B248" s="19" t="n"/>
      <c r="C248" s="19" t="n"/>
      <c r="D248" s="20">
        <f>IF(OR(B248="",C248=""),"",(C248-B248)*24)</f>
        <v/>
      </c>
      <c r="E248" s="21" t="n"/>
      <c r="F248" s="21" t="n"/>
      <c r="G248" s="21" t="n"/>
    </row>
    <row r="249">
      <c r="A249" s="18" t="n"/>
      <c r="B249" s="19" t="n"/>
      <c r="C249" s="19" t="n"/>
      <c r="D249" s="20">
        <f>IF(OR(B249="",C249=""),"",(C249-B249)*24)</f>
        <v/>
      </c>
      <c r="E249" s="21" t="n"/>
      <c r="F249" s="21" t="n"/>
      <c r="G249" s="21" t="n"/>
    </row>
    <row r="250">
      <c r="A250" s="18" t="n"/>
      <c r="B250" s="19" t="n"/>
      <c r="C250" s="19" t="n"/>
      <c r="D250" s="20">
        <f>IF(OR(B250="",C250=""),"",(C250-B250)*24)</f>
        <v/>
      </c>
      <c r="E250" s="21" t="n"/>
      <c r="F250" s="21" t="n"/>
      <c r="G250" s="21" t="n"/>
    </row>
    <row r="251">
      <c r="A251" s="18" t="n"/>
      <c r="B251" s="19" t="n"/>
      <c r="C251" s="19" t="n"/>
      <c r="D251" s="20">
        <f>IF(OR(B251="",C251=""),"",(C251-B251)*24)</f>
        <v/>
      </c>
      <c r="E251" s="21" t="n"/>
      <c r="F251" s="21" t="n"/>
      <c r="G251" s="21" t="n"/>
    </row>
    <row r="252">
      <c r="A252" s="18" t="n"/>
      <c r="B252" s="19" t="n"/>
      <c r="C252" s="19" t="n"/>
      <c r="D252" s="20">
        <f>IF(OR(B252="",C252=""),"",(C252-B252)*24)</f>
        <v/>
      </c>
      <c r="E252" s="21" t="n"/>
      <c r="F252" s="21" t="n"/>
      <c r="G252" s="21" t="n"/>
    </row>
    <row r="253">
      <c r="A253" s="18" t="n"/>
      <c r="B253" s="19" t="n"/>
      <c r="C253" s="19" t="n"/>
      <c r="D253" s="20">
        <f>IF(OR(B253="",C253=""),"",(C253-B253)*24)</f>
        <v/>
      </c>
      <c r="E253" s="21" t="n"/>
      <c r="F253" s="21" t="n"/>
      <c r="G253" s="21" t="n"/>
    </row>
    <row r="254">
      <c r="A254" s="18" t="n"/>
      <c r="B254" s="19" t="n"/>
      <c r="C254" s="19" t="n"/>
      <c r="D254" s="20">
        <f>IF(OR(B254="",C254=""),"",(C254-B254)*24)</f>
        <v/>
      </c>
      <c r="E254" s="21" t="n"/>
      <c r="F254" s="21" t="n"/>
      <c r="G254" s="21" t="n"/>
    </row>
    <row r="255">
      <c r="A255" s="18" t="n"/>
      <c r="B255" s="19" t="n"/>
      <c r="C255" s="19" t="n"/>
      <c r="D255" s="20">
        <f>IF(OR(B255="",C255=""),"",(C255-B255)*24)</f>
        <v/>
      </c>
      <c r="E255" s="21" t="n"/>
      <c r="F255" s="21" t="n"/>
      <c r="G255" s="21" t="n"/>
    </row>
    <row r="256">
      <c r="A256" s="18" t="n"/>
      <c r="B256" s="19" t="n"/>
      <c r="C256" s="19" t="n"/>
      <c r="D256" s="20">
        <f>IF(OR(B256="",C256=""),"",(C256-B256)*24)</f>
        <v/>
      </c>
      <c r="E256" s="21" t="n"/>
      <c r="F256" s="21" t="n"/>
      <c r="G256" s="21" t="n"/>
    </row>
    <row r="257">
      <c r="A257" s="18" t="n"/>
      <c r="B257" s="19" t="n"/>
      <c r="C257" s="19" t="n"/>
      <c r="D257" s="20">
        <f>IF(OR(B257="",C257=""),"",(C257-B257)*24)</f>
        <v/>
      </c>
      <c r="E257" s="21" t="n"/>
      <c r="F257" s="21" t="n"/>
      <c r="G257" s="21" t="n"/>
    </row>
    <row r="258">
      <c r="A258" s="18" t="n"/>
      <c r="B258" s="19" t="n"/>
      <c r="C258" s="19" t="n"/>
      <c r="D258" s="20">
        <f>IF(OR(B258="",C258=""),"",(C258-B258)*24)</f>
        <v/>
      </c>
      <c r="E258" s="21" t="n"/>
      <c r="F258" s="21" t="n"/>
      <c r="G258" s="21" t="n"/>
    </row>
    <row r="259">
      <c r="A259" s="18" t="n"/>
      <c r="B259" s="19" t="n"/>
      <c r="C259" s="19" t="n"/>
      <c r="D259" s="20">
        <f>IF(OR(B259="",C259=""),"",(C259-B259)*24)</f>
        <v/>
      </c>
      <c r="E259" s="21" t="n"/>
      <c r="F259" s="21" t="n"/>
      <c r="G259" s="21" t="n"/>
    </row>
    <row r="260">
      <c r="A260" s="18" t="n"/>
      <c r="B260" s="19" t="n"/>
      <c r="C260" s="19" t="n"/>
      <c r="D260" s="20">
        <f>IF(OR(B260="",C260=""),"",(C260-B260)*24)</f>
        <v/>
      </c>
      <c r="E260" s="21" t="n"/>
      <c r="F260" s="21" t="n"/>
      <c r="G260" s="21" t="n"/>
    </row>
    <row r="261">
      <c r="A261" s="18" t="n"/>
      <c r="B261" s="19" t="n"/>
      <c r="C261" s="19" t="n"/>
      <c r="D261" s="20">
        <f>IF(OR(B261="",C261=""),"",(C261-B261)*24)</f>
        <v/>
      </c>
      <c r="E261" s="21" t="n"/>
      <c r="F261" s="21" t="n"/>
      <c r="G261" s="21" t="n"/>
    </row>
    <row r="262">
      <c r="A262" s="18" t="n"/>
      <c r="B262" s="19" t="n"/>
      <c r="C262" s="19" t="n"/>
      <c r="D262" s="20">
        <f>IF(OR(B262="",C262=""),"",(C262-B262)*24)</f>
        <v/>
      </c>
      <c r="E262" s="21" t="n"/>
      <c r="F262" s="21" t="n"/>
      <c r="G262" s="21" t="n"/>
    </row>
    <row r="263">
      <c r="A263" s="18" t="n"/>
      <c r="B263" s="19" t="n"/>
      <c r="C263" s="19" t="n"/>
      <c r="D263" s="20">
        <f>IF(OR(B263="",C263=""),"",(C263-B263)*24)</f>
        <v/>
      </c>
      <c r="E263" s="21" t="n"/>
      <c r="F263" s="21" t="n"/>
      <c r="G263" s="21" t="n"/>
    </row>
    <row r="264">
      <c r="A264" s="18" t="n"/>
      <c r="B264" s="19" t="n"/>
      <c r="C264" s="19" t="n"/>
      <c r="D264" s="20">
        <f>IF(OR(B264="",C264=""),"",(C264-B264)*24)</f>
        <v/>
      </c>
      <c r="E264" s="21" t="n"/>
      <c r="F264" s="21" t="n"/>
      <c r="G264" s="21" t="n"/>
    </row>
    <row r="265">
      <c r="A265" s="18" t="n"/>
      <c r="B265" s="19" t="n"/>
      <c r="C265" s="19" t="n"/>
      <c r="D265" s="20">
        <f>IF(OR(B265="",C265=""),"",(C265-B265)*24)</f>
        <v/>
      </c>
      <c r="E265" s="21" t="n"/>
      <c r="F265" s="21" t="n"/>
      <c r="G265" s="21" t="n"/>
    </row>
    <row r="266">
      <c r="A266" s="18" t="n"/>
      <c r="B266" s="19" t="n"/>
      <c r="C266" s="19" t="n"/>
      <c r="D266" s="20">
        <f>IF(OR(B266="",C266=""),"",(C266-B266)*24)</f>
        <v/>
      </c>
      <c r="E266" s="21" t="n"/>
      <c r="F266" s="21" t="n"/>
      <c r="G266" s="21" t="n"/>
    </row>
    <row r="267">
      <c r="A267" s="18" t="n"/>
      <c r="B267" s="19" t="n"/>
      <c r="C267" s="19" t="n"/>
      <c r="D267" s="20">
        <f>IF(OR(B267="",C267=""),"",(C267-B267)*24)</f>
        <v/>
      </c>
      <c r="E267" s="21" t="n"/>
      <c r="F267" s="21" t="n"/>
      <c r="G267" s="21" t="n"/>
    </row>
    <row r="268">
      <c r="A268" s="18" t="n"/>
      <c r="B268" s="19" t="n"/>
      <c r="C268" s="19" t="n"/>
      <c r="D268" s="20">
        <f>IF(OR(B268="",C268=""),"",(C268-B268)*24)</f>
        <v/>
      </c>
      <c r="E268" s="21" t="n"/>
      <c r="F268" s="21" t="n"/>
      <c r="G268" s="21" t="n"/>
    </row>
    <row r="269">
      <c r="A269" s="18" t="n"/>
      <c r="B269" s="19" t="n"/>
      <c r="C269" s="19" t="n"/>
      <c r="D269" s="20">
        <f>IF(OR(B269="",C269=""),"",(C269-B269)*24)</f>
        <v/>
      </c>
      <c r="E269" s="21" t="n"/>
      <c r="F269" s="21" t="n"/>
      <c r="G269" s="21" t="n"/>
    </row>
    <row r="270">
      <c r="A270" s="18" t="n"/>
      <c r="B270" s="19" t="n"/>
      <c r="C270" s="19" t="n"/>
      <c r="D270" s="20">
        <f>IF(OR(B270="",C270=""),"",(C270-B270)*24)</f>
        <v/>
      </c>
      <c r="E270" s="21" t="n"/>
      <c r="F270" s="21" t="n"/>
      <c r="G270" s="21" t="n"/>
    </row>
    <row r="271">
      <c r="A271" s="18" t="n"/>
      <c r="B271" s="19" t="n"/>
      <c r="C271" s="19" t="n"/>
      <c r="D271" s="20">
        <f>IF(OR(B271="",C271=""),"",(C271-B271)*24)</f>
        <v/>
      </c>
      <c r="E271" s="21" t="n"/>
      <c r="F271" s="21" t="n"/>
      <c r="G271" s="21" t="n"/>
    </row>
    <row r="272">
      <c r="A272" s="18" t="n"/>
      <c r="B272" s="19" t="n"/>
      <c r="C272" s="19" t="n"/>
      <c r="D272" s="20">
        <f>IF(OR(B272="",C272=""),"",(C272-B272)*24)</f>
        <v/>
      </c>
      <c r="E272" s="21" t="n"/>
      <c r="F272" s="21" t="n"/>
      <c r="G272" s="21" t="n"/>
    </row>
    <row r="273">
      <c r="A273" s="18" t="n"/>
      <c r="B273" s="19" t="n"/>
      <c r="C273" s="19" t="n"/>
      <c r="D273" s="20">
        <f>IF(OR(B273="",C273=""),"",(C273-B273)*24)</f>
        <v/>
      </c>
      <c r="E273" s="21" t="n"/>
      <c r="F273" s="21" t="n"/>
      <c r="G273" s="21" t="n"/>
    </row>
    <row r="274">
      <c r="A274" s="18" t="n"/>
      <c r="B274" s="19" t="n"/>
      <c r="C274" s="19" t="n"/>
      <c r="D274" s="20">
        <f>IF(OR(B274="",C274=""),"",(C274-B274)*24)</f>
        <v/>
      </c>
      <c r="E274" s="21" t="n"/>
      <c r="F274" s="21" t="n"/>
      <c r="G274" s="21" t="n"/>
    </row>
    <row r="275">
      <c r="A275" s="18" t="n"/>
      <c r="B275" s="19" t="n"/>
      <c r="C275" s="19" t="n"/>
      <c r="D275" s="20">
        <f>IF(OR(B275="",C275=""),"",(C275-B275)*24)</f>
        <v/>
      </c>
      <c r="E275" s="21" t="n"/>
      <c r="F275" s="21" t="n"/>
      <c r="G275" s="21" t="n"/>
    </row>
    <row r="276">
      <c r="A276" s="18" t="n"/>
      <c r="B276" s="19" t="n"/>
      <c r="C276" s="19" t="n"/>
      <c r="D276" s="20">
        <f>IF(OR(B276="",C276=""),"",(C276-B276)*24)</f>
        <v/>
      </c>
      <c r="E276" s="21" t="n"/>
      <c r="F276" s="21" t="n"/>
      <c r="G276" s="21" t="n"/>
    </row>
    <row r="277">
      <c r="A277" s="18" t="n"/>
      <c r="B277" s="19" t="n"/>
      <c r="C277" s="19" t="n"/>
      <c r="D277" s="20">
        <f>IF(OR(B277="",C277=""),"",(C277-B277)*24)</f>
        <v/>
      </c>
      <c r="E277" s="21" t="n"/>
      <c r="F277" s="21" t="n"/>
      <c r="G277" s="21" t="n"/>
    </row>
    <row r="278">
      <c r="A278" s="18" t="n"/>
      <c r="B278" s="19" t="n"/>
      <c r="C278" s="19" t="n"/>
      <c r="D278" s="20">
        <f>IF(OR(B278="",C278=""),"",(C278-B278)*24)</f>
        <v/>
      </c>
      <c r="E278" s="21" t="n"/>
      <c r="F278" s="21" t="n"/>
      <c r="G278" s="21" t="n"/>
    </row>
    <row r="279">
      <c r="A279" s="18" t="n"/>
      <c r="B279" s="19" t="n"/>
      <c r="C279" s="19" t="n"/>
      <c r="D279" s="20">
        <f>IF(OR(B279="",C279=""),"",(C279-B279)*24)</f>
        <v/>
      </c>
      <c r="E279" s="21" t="n"/>
      <c r="F279" s="21" t="n"/>
      <c r="G279" s="21" t="n"/>
    </row>
    <row r="280">
      <c r="A280" s="18" t="n"/>
      <c r="B280" s="19" t="n"/>
      <c r="C280" s="19" t="n"/>
      <c r="D280" s="20">
        <f>IF(OR(B280="",C280=""),"",(C280-B280)*24)</f>
        <v/>
      </c>
      <c r="E280" s="21" t="n"/>
      <c r="F280" s="21" t="n"/>
      <c r="G280" s="21" t="n"/>
    </row>
    <row r="281">
      <c r="A281" s="18" t="n"/>
      <c r="B281" s="19" t="n"/>
      <c r="C281" s="19" t="n"/>
      <c r="D281" s="20">
        <f>IF(OR(B281="",C281=""),"",(C281-B281)*24)</f>
        <v/>
      </c>
      <c r="E281" s="21" t="n"/>
      <c r="F281" s="21" t="n"/>
      <c r="G281" s="21" t="n"/>
    </row>
    <row r="282">
      <c r="A282" s="18" t="n"/>
      <c r="B282" s="19" t="n"/>
      <c r="C282" s="19" t="n"/>
      <c r="D282" s="20">
        <f>IF(OR(B282="",C282=""),"",(C282-B282)*24)</f>
        <v/>
      </c>
      <c r="E282" s="21" t="n"/>
      <c r="F282" s="21" t="n"/>
      <c r="G282" s="21" t="n"/>
    </row>
    <row r="283">
      <c r="A283" s="18" t="n"/>
      <c r="B283" s="19" t="n"/>
      <c r="C283" s="19" t="n"/>
      <c r="D283" s="20">
        <f>IF(OR(B283="",C283=""),"",(C283-B283)*24)</f>
        <v/>
      </c>
      <c r="E283" s="21" t="n"/>
      <c r="F283" s="21" t="n"/>
      <c r="G283" s="21" t="n"/>
    </row>
    <row r="284">
      <c r="A284" s="18" t="n"/>
      <c r="B284" s="19" t="n"/>
      <c r="C284" s="19" t="n"/>
      <c r="D284" s="20">
        <f>IF(OR(B284="",C284=""),"",(C284-B284)*24)</f>
        <v/>
      </c>
      <c r="E284" s="21" t="n"/>
      <c r="F284" s="21" t="n"/>
      <c r="G284" s="21" t="n"/>
    </row>
    <row r="285">
      <c r="A285" s="18" t="n"/>
      <c r="B285" s="19" t="n"/>
      <c r="C285" s="19" t="n"/>
      <c r="D285" s="20">
        <f>IF(OR(B285="",C285=""),"",(C285-B285)*24)</f>
        <v/>
      </c>
      <c r="E285" s="21" t="n"/>
      <c r="F285" s="21" t="n"/>
      <c r="G285" s="21" t="n"/>
    </row>
    <row r="286">
      <c r="A286" s="18" t="n"/>
      <c r="B286" s="19" t="n"/>
      <c r="C286" s="19" t="n"/>
      <c r="D286" s="20">
        <f>IF(OR(B286="",C286=""),"",(C286-B286)*24)</f>
        <v/>
      </c>
      <c r="E286" s="21" t="n"/>
      <c r="F286" s="21" t="n"/>
      <c r="G286" s="21" t="n"/>
    </row>
    <row r="287">
      <c r="A287" s="18" t="n"/>
      <c r="B287" s="19" t="n"/>
      <c r="C287" s="19" t="n"/>
      <c r="D287" s="20">
        <f>IF(OR(B287="",C287=""),"",(C287-B287)*24)</f>
        <v/>
      </c>
      <c r="E287" s="21" t="n"/>
      <c r="F287" s="21" t="n"/>
      <c r="G287" s="21" t="n"/>
    </row>
    <row r="288">
      <c r="A288" s="18" t="n"/>
      <c r="B288" s="19" t="n"/>
      <c r="C288" s="19" t="n"/>
      <c r="D288" s="20">
        <f>IF(OR(B288="",C288=""),"",(C288-B288)*24)</f>
        <v/>
      </c>
      <c r="E288" s="21" t="n"/>
      <c r="F288" s="21" t="n"/>
      <c r="G288" s="21" t="n"/>
    </row>
    <row r="289">
      <c r="A289" s="18" t="n"/>
      <c r="B289" s="19" t="n"/>
      <c r="C289" s="19" t="n"/>
      <c r="D289" s="20">
        <f>IF(OR(B289="",C289=""),"",(C289-B289)*24)</f>
        <v/>
      </c>
      <c r="E289" s="21" t="n"/>
      <c r="F289" s="21" t="n"/>
      <c r="G289" s="21" t="n"/>
    </row>
    <row r="290">
      <c r="A290" s="18" t="n"/>
      <c r="B290" s="19" t="n"/>
      <c r="C290" s="19" t="n"/>
      <c r="D290" s="20">
        <f>IF(OR(B290="",C290=""),"",(C290-B290)*24)</f>
        <v/>
      </c>
      <c r="E290" s="21" t="n"/>
      <c r="F290" s="21" t="n"/>
      <c r="G290" s="21" t="n"/>
    </row>
    <row r="291">
      <c r="A291" s="18" t="n"/>
      <c r="B291" s="19" t="n"/>
      <c r="C291" s="19" t="n"/>
      <c r="D291" s="20">
        <f>IF(OR(B291="",C291=""),"",(C291-B291)*24)</f>
        <v/>
      </c>
      <c r="E291" s="21" t="n"/>
      <c r="F291" s="21" t="n"/>
      <c r="G291" s="21" t="n"/>
    </row>
    <row r="292">
      <c r="A292" s="18" t="n"/>
      <c r="B292" s="19" t="n"/>
      <c r="C292" s="19" t="n"/>
      <c r="D292" s="20">
        <f>IF(OR(B292="",C292=""),"",(C292-B292)*24)</f>
        <v/>
      </c>
      <c r="E292" s="21" t="n"/>
      <c r="F292" s="21" t="n"/>
      <c r="G292" s="21" t="n"/>
    </row>
    <row r="293">
      <c r="A293" s="18" t="n"/>
      <c r="B293" s="19" t="n"/>
      <c r="C293" s="19" t="n"/>
      <c r="D293" s="20">
        <f>IF(OR(B293="",C293=""),"",(C293-B293)*24)</f>
        <v/>
      </c>
      <c r="E293" s="21" t="n"/>
      <c r="F293" s="21" t="n"/>
      <c r="G293" s="21" t="n"/>
    </row>
    <row r="294">
      <c r="A294" s="18" t="n"/>
      <c r="B294" s="19" t="n"/>
      <c r="C294" s="19" t="n"/>
      <c r="D294" s="20">
        <f>IF(OR(B294="",C294=""),"",(C294-B294)*24)</f>
        <v/>
      </c>
      <c r="E294" s="21" t="n"/>
      <c r="F294" s="21" t="n"/>
      <c r="G294" s="21" t="n"/>
    </row>
    <row r="295">
      <c r="A295" s="18" t="n"/>
      <c r="B295" s="19" t="n"/>
      <c r="C295" s="19" t="n"/>
      <c r="D295" s="20">
        <f>IF(OR(B295="",C295=""),"",(C295-B295)*24)</f>
        <v/>
      </c>
      <c r="E295" s="21" t="n"/>
      <c r="F295" s="21" t="n"/>
      <c r="G295" s="21" t="n"/>
    </row>
    <row r="296">
      <c r="A296" s="18" t="n"/>
      <c r="B296" s="19" t="n"/>
      <c r="C296" s="19" t="n"/>
      <c r="D296" s="20">
        <f>IF(OR(B296="",C296=""),"",(C296-B296)*24)</f>
        <v/>
      </c>
      <c r="E296" s="21" t="n"/>
      <c r="F296" s="21" t="n"/>
      <c r="G296" s="21" t="n"/>
    </row>
    <row r="297">
      <c r="A297" s="18" t="n"/>
      <c r="B297" s="19" t="n"/>
      <c r="C297" s="19" t="n"/>
      <c r="D297" s="20">
        <f>IF(OR(B297="",C297=""),"",(C297-B297)*24)</f>
        <v/>
      </c>
      <c r="E297" s="21" t="n"/>
      <c r="F297" s="21" t="n"/>
      <c r="G297" s="21" t="n"/>
    </row>
    <row r="298">
      <c r="A298" s="18" t="n"/>
      <c r="B298" s="19" t="n"/>
      <c r="C298" s="19" t="n"/>
      <c r="D298" s="20">
        <f>IF(OR(B298="",C298=""),"",(C298-B298)*24)</f>
        <v/>
      </c>
      <c r="E298" s="21" t="n"/>
      <c r="F298" s="21" t="n"/>
      <c r="G298" s="21" t="n"/>
    </row>
    <row r="299">
      <c r="A299" s="18" t="n"/>
      <c r="B299" s="19" t="n"/>
      <c r="C299" s="19" t="n"/>
      <c r="D299" s="20">
        <f>IF(OR(B299="",C299=""),"",(C299-B299)*24)</f>
        <v/>
      </c>
      <c r="E299" s="21" t="n"/>
      <c r="F299" s="21" t="n"/>
      <c r="G299" s="21" t="n"/>
    </row>
    <row r="300">
      <c r="A300" s="18" t="n"/>
      <c r="B300" s="19" t="n"/>
      <c r="C300" s="19" t="n"/>
      <c r="D300" s="20">
        <f>IF(OR(B300="",C300=""),"",(C300-B300)*24)</f>
        <v/>
      </c>
      <c r="E300" s="21" t="n"/>
      <c r="F300" s="21" t="n"/>
      <c r="G300" s="21" t="n"/>
    </row>
    <row r="301">
      <c r="A301" s="18" t="n"/>
      <c r="B301" s="19" t="n"/>
      <c r="C301" s="19" t="n"/>
      <c r="D301" s="20">
        <f>IF(OR(B301="",C301=""),"",(C301-B301)*24)</f>
        <v/>
      </c>
      <c r="E301" s="21" t="n"/>
      <c r="F301" s="21" t="n"/>
      <c r="G301" s="21" t="n"/>
    </row>
    <row r="302">
      <c r="A302" s="18" t="n"/>
      <c r="B302" s="19" t="n"/>
      <c r="C302" s="19" t="n"/>
      <c r="D302" s="20">
        <f>IF(OR(B302="",C302=""),"",(C302-B302)*24)</f>
        <v/>
      </c>
      <c r="E302" s="21" t="n"/>
      <c r="F302" s="21" t="n"/>
      <c r="G302" s="21" t="n"/>
    </row>
    <row r="303">
      <c r="A303" s="18" t="n"/>
      <c r="B303" s="19" t="n"/>
      <c r="C303" s="19" t="n"/>
      <c r="D303" s="20">
        <f>IF(OR(B303="",C303=""),"",(C303-B303)*24)</f>
        <v/>
      </c>
      <c r="E303" s="21" t="n"/>
      <c r="F303" s="21" t="n"/>
      <c r="G303" s="21" t="n"/>
    </row>
    <row r="304">
      <c r="A304" s="18" t="n"/>
      <c r="B304" s="19" t="n"/>
      <c r="C304" s="19" t="n"/>
      <c r="D304" s="20">
        <f>IF(OR(B304="",C304=""),"",(C304-B304)*24)</f>
        <v/>
      </c>
      <c r="E304" s="21" t="n"/>
      <c r="F304" s="21" t="n"/>
      <c r="G304" s="21" t="n"/>
    </row>
    <row r="305">
      <c r="A305" s="18" t="n"/>
      <c r="B305" s="19" t="n"/>
      <c r="C305" s="19" t="n"/>
      <c r="D305" s="20">
        <f>IF(OR(B305="",C305=""),"",(C305-B305)*24)</f>
        <v/>
      </c>
      <c r="E305" s="21" t="n"/>
      <c r="F305" s="21" t="n"/>
      <c r="G305" s="21" t="n"/>
    </row>
    <row r="306">
      <c r="A306" s="18" t="n"/>
      <c r="B306" s="19" t="n"/>
      <c r="C306" s="19" t="n"/>
      <c r="D306" s="20">
        <f>IF(OR(B306="",C306=""),"",(C306-B306)*24)</f>
        <v/>
      </c>
      <c r="E306" s="21" t="n"/>
      <c r="F306" s="21" t="n"/>
      <c r="G306" s="21" t="n"/>
    </row>
    <row r="307">
      <c r="A307" s="18" t="n"/>
      <c r="B307" s="19" t="n"/>
      <c r="C307" s="19" t="n"/>
      <c r="D307" s="20">
        <f>IF(OR(B307="",C307=""),"",(C307-B307)*24)</f>
        <v/>
      </c>
      <c r="E307" s="21" t="n"/>
      <c r="F307" s="21" t="n"/>
      <c r="G307" s="21" t="n"/>
    </row>
    <row r="308">
      <c r="A308" s="18" t="n"/>
      <c r="B308" s="19" t="n"/>
      <c r="C308" s="19" t="n"/>
      <c r="D308" s="20">
        <f>IF(OR(B308="",C308=""),"",(C308-B308)*24)</f>
        <v/>
      </c>
      <c r="E308" s="21" t="n"/>
      <c r="F308" s="21" t="n"/>
      <c r="G308" s="21" t="n"/>
    </row>
    <row r="309">
      <c r="A309" s="18" t="n"/>
      <c r="B309" s="19" t="n"/>
      <c r="C309" s="19" t="n"/>
      <c r="D309" s="20">
        <f>IF(OR(B309="",C309=""),"",(C309-B309)*24)</f>
        <v/>
      </c>
      <c r="E309" s="21" t="n"/>
      <c r="F309" s="21" t="n"/>
      <c r="G309" s="21" t="n"/>
    </row>
    <row r="310">
      <c r="A310" s="18" t="n"/>
      <c r="B310" s="19" t="n"/>
      <c r="C310" s="19" t="n"/>
      <c r="D310" s="20">
        <f>IF(OR(B310="",C310=""),"",(C310-B310)*24)</f>
        <v/>
      </c>
      <c r="E310" s="21" t="n"/>
      <c r="F310" s="21" t="n"/>
      <c r="G310" s="21" t="n"/>
    </row>
    <row r="311">
      <c r="A311" s="18" t="n"/>
      <c r="B311" s="19" t="n"/>
      <c r="C311" s="19" t="n"/>
      <c r="D311" s="20">
        <f>IF(OR(B311="",C311=""),"",(C311-B311)*24)</f>
        <v/>
      </c>
      <c r="E311" s="21" t="n"/>
      <c r="F311" s="21" t="n"/>
      <c r="G311" s="21" t="n"/>
    </row>
    <row r="312">
      <c r="A312" s="18" t="n"/>
      <c r="B312" s="19" t="n"/>
      <c r="C312" s="19" t="n"/>
      <c r="D312" s="20">
        <f>IF(OR(B312="",C312=""),"",(C312-B312)*24)</f>
        <v/>
      </c>
      <c r="E312" s="21" t="n"/>
      <c r="F312" s="21" t="n"/>
      <c r="G312" s="21" t="n"/>
    </row>
    <row r="313">
      <c r="A313" s="18" t="n"/>
      <c r="B313" s="19" t="n"/>
      <c r="C313" s="19" t="n"/>
      <c r="D313" s="20">
        <f>IF(OR(B313="",C313=""),"",(C313-B313)*24)</f>
        <v/>
      </c>
      <c r="E313" s="21" t="n"/>
      <c r="F313" s="21" t="n"/>
      <c r="G313" s="21" t="n"/>
    </row>
    <row r="314">
      <c r="A314" s="18" t="n"/>
      <c r="B314" s="19" t="n"/>
      <c r="C314" s="19" t="n"/>
      <c r="D314" s="20">
        <f>IF(OR(B314="",C314=""),"",(C314-B314)*24)</f>
        <v/>
      </c>
      <c r="E314" s="21" t="n"/>
      <c r="F314" s="21" t="n"/>
      <c r="G314" s="21" t="n"/>
    </row>
    <row r="315">
      <c r="A315" s="18" t="n"/>
      <c r="B315" s="19" t="n"/>
      <c r="C315" s="19" t="n"/>
      <c r="D315" s="20">
        <f>IF(OR(B315="",C315=""),"",(C315-B315)*24)</f>
        <v/>
      </c>
      <c r="E315" s="21" t="n"/>
      <c r="F315" s="21" t="n"/>
      <c r="G315" s="21" t="n"/>
    </row>
    <row r="316">
      <c r="A316" s="18" t="n"/>
      <c r="B316" s="19" t="n"/>
      <c r="C316" s="19" t="n"/>
      <c r="D316" s="20">
        <f>IF(OR(B316="",C316=""),"",(C316-B316)*24)</f>
        <v/>
      </c>
      <c r="E316" s="21" t="n"/>
      <c r="F316" s="21" t="n"/>
      <c r="G316" s="21" t="n"/>
    </row>
    <row r="317">
      <c r="A317" s="18" t="n"/>
      <c r="B317" s="19" t="n"/>
      <c r="C317" s="19" t="n"/>
      <c r="D317" s="20">
        <f>IF(OR(B317="",C317=""),"",(C317-B317)*24)</f>
        <v/>
      </c>
      <c r="E317" s="21" t="n"/>
      <c r="F317" s="21" t="n"/>
      <c r="G317" s="21" t="n"/>
    </row>
    <row r="318">
      <c r="A318" s="18" t="n"/>
      <c r="B318" s="19" t="n"/>
      <c r="C318" s="19" t="n"/>
      <c r="D318" s="20">
        <f>IF(OR(B318="",C318=""),"",(C318-B318)*24)</f>
        <v/>
      </c>
      <c r="E318" s="21" t="n"/>
      <c r="F318" s="21" t="n"/>
      <c r="G318" s="21" t="n"/>
    </row>
    <row r="319">
      <c r="A319" s="18" t="n"/>
      <c r="B319" s="19" t="n"/>
      <c r="C319" s="19" t="n"/>
      <c r="D319" s="20">
        <f>IF(OR(B319="",C319=""),"",(C319-B319)*24)</f>
        <v/>
      </c>
      <c r="E319" s="21" t="n"/>
      <c r="F319" s="21" t="n"/>
      <c r="G319" s="21" t="n"/>
    </row>
    <row r="320">
      <c r="A320" s="18" t="n"/>
      <c r="B320" s="19" t="n"/>
      <c r="C320" s="19" t="n"/>
      <c r="D320" s="20">
        <f>IF(OR(B320="",C320=""),"",(C320-B320)*24)</f>
        <v/>
      </c>
      <c r="E320" s="21" t="n"/>
      <c r="F320" s="21" t="n"/>
      <c r="G320" s="21" t="n"/>
    </row>
    <row r="321">
      <c r="A321" s="18" t="n"/>
      <c r="B321" s="19" t="n"/>
      <c r="C321" s="19" t="n"/>
      <c r="D321" s="20">
        <f>IF(OR(B321="",C321=""),"",(C321-B321)*24)</f>
        <v/>
      </c>
      <c r="E321" s="21" t="n"/>
      <c r="F321" s="21" t="n"/>
      <c r="G321" s="21" t="n"/>
    </row>
    <row r="322">
      <c r="A322" s="18" t="n"/>
      <c r="B322" s="19" t="n"/>
      <c r="C322" s="19" t="n"/>
      <c r="D322" s="20">
        <f>IF(OR(B322="",C322=""),"",(C322-B322)*24)</f>
        <v/>
      </c>
      <c r="E322" s="21" t="n"/>
      <c r="F322" s="21" t="n"/>
      <c r="G322" s="21" t="n"/>
    </row>
    <row r="323">
      <c r="A323" s="18" t="n"/>
      <c r="B323" s="19" t="n"/>
      <c r="C323" s="19" t="n"/>
      <c r="D323" s="20">
        <f>IF(OR(B323="",C323=""),"",(C323-B323)*24)</f>
        <v/>
      </c>
      <c r="E323" s="21" t="n"/>
      <c r="F323" s="21" t="n"/>
      <c r="G323" s="21" t="n"/>
    </row>
    <row r="324">
      <c r="A324" s="18" t="n"/>
      <c r="B324" s="19" t="n"/>
      <c r="C324" s="19" t="n"/>
      <c r="D324" s="20">
        <f>IF(OR(B324="",C324=""),"",(C324-B324)*24)</f>
        <v/>
      </c>
      <c r="E324" s="21" t="n"/>
      <c r="F324" s="21" t="n"/>
      <c r="G324" s="21" t="n"/>
    </row>
    <row r="325">
      <c r="A325" s="18" t="n"/>
      <c r="B325" s="19" t="n"/>
      <c r="C325" s="19" t="n"/>
      <c r="D325" s="20">
        <f>IF(OR(B325="",C325=""),"",(C325-B325)*24)</f>
        <v/>
      </c>
      <c r="E325" s="21" t="n"/>
      <c r="F325" s="21" t="n"/>
      <c r="G325" s="21" t="n"/>
    </row>
    <row r="326">
      <c r="A326" s="18" t="n"/>
      <c r="B326" s="19" t="n"/>
      <c r="C326" s="19" t="n"/>
      <c r="D326" s="20">
        <f>IF(OR(B326="",C326=""),"",(C326-B326)*24)</f>
        <v/>
      </c>
      <c r="E326" s="21" t="n"/>
      <c r="F326" s="21" t="n"/>
      <c r="G326" s="21" t="n"/>
    </row>
    <row r="327">
      <c r="A327" s="18" t="n"/>
      <c r="B327" s="19" t="n"/>
      <c r="C327" s="19" t="n"/>
      <c r="D327" s="20">
        <f>IF(OR(B327="",C327=""),"",(C327-B327)*24)</f>
        <v/>
      </c>
      <c r="E327" s="21" t="n"/>
      <c r="F327" s="21" t="n"/>
      <c r="G327" s="21" t="n"/>
    </row>
    <row r="328">
      <c r="A328" s="18" t="n"/>
      <c r="B328" s="19" t="n"/>
      <c r="C328" s="19" t="n"/>
      <c r="D328" s="20">
        <f>IF(OR(B328="",C328=""),"",(C328-B328)*24)</f>
        <v/>
      </c>
      <c r="E328" s="21" t="n"/>
      <c r="F328" s="21" t="n"/>
      <c r="G328" s="21" t="n"/>
    </row>
    <row r="329">
      <c r="A329" s="18" t="n"/>
      <c r="B329" s="19" t="n"/>
      <c r="C329" s="19" t="n"/>
      <c r="D329" s="20">
        <f>IF(OR(B329="",C329=""),"",(C329-B329)*24)</f>
        <v/>
      </c>
      <c r="E329" s="21" t="n"/>
      <c r="F329" s="21" t="n"/>
      <c r="G329" s="21" t="n"/>
    </row>
    <row r="330">
      <c r="A330" s="18" t="n"/>
      <c r="B330" s="19" t="n"/>
      <c r="C330" s="19" t="n"/>
      <c r="D330" s="20">
        <f>IF(OR(B330="",C330=""),"",(C330-B330)*24)</f>
        <v/>
      </c>
      <c r="E330" s="21" t="n"/>
      <c r="F330" s="21" t="n"/>
      <c r="G330" s="21" t="n"/>
    </row>
    <row r="331">
      <c r="A331" s="18" t="n"/>
      <c r="B331" s="19" t="n"/>
      <c r="C331" s="19" t="n"/>
      <c r="D331" s="20">
        <f>IF(OR(B331="",C331=""),"",(C331-B331)*24)</f>
        <v/>
      </c>
      <c r="E331" s="21" t="n"/>
      <c r="F331" s="21" t="n"/>
      <c r="G331" s="21" t="n"/>
    </row>
    <row r="332">
      <c r="A332" s="18" t="n"/>
      <c r="B332" s="19" t="n"/>
      <c r="C332" s="19" t="n"/>
      <c r="D332" s="20">
        <f>IF(OR(B332="",C332=""),"",(C332-B332)*24)</f>
        <v/>
      </c>
      <c r="E332" s="21" t="n"/>
      <c r="F332" s="21" t="n"/>
      <c r="G332" s="21" t="n"/>
    </row>
    <row r="333">
      <c r="A333" s="18" t="n"/>
      <c r="B333" s="19" t="n"/>
      <c r="C333" s="19" t="n"/>
      <c r="D333" s="20">
        <f>IF(OR(B333="",C333=""),"",(C333-B333)*24)</f>
        <v/>
      </c>
      <c r="E333" s="21" t="n"/>
      <c r="F333" s="21" t="n"/>
      <c r="G333" s="21" t="n"/>
    </row>
    <row r="334">
      <c r="A334" s="18" t="n"/>
      <c r="B334" s="19" t="n"/>
      <c r="C334" s="19" t="n"/>
      <c r="D334" s="20">
        <f>IF(OR(B334="",C334=""),"",(C334-B334)*24)</f>
        <v/>
      </c>
      <c r="E334" s="21" t="n"/>
      <c r="F334" s="21" t="n"/>
      <c r="G334" s="21" t="n"/>
    </row>
    <row r="335">
      <c r="A335" s="18" t="n"/>
      <c r="B335" s="19" t="n"/>
      <c r="C335" s="19" t="n"/>
      <c r="D335" s="20">
        <f>IF(OR(B335="",C335=""),"",(C335-B335)*24)</f>
        <v/>
      </c>
      <c r="E335" s="21" t="n"/>
      <c r="F335" s="21" t="n"/>
      <c r="G335" s="21" t="n"/>
    </row>
    <row r="336">
      <c r="A336" s="18" t="n"/>
      <c r="B336" s="19" t="n"/>
      <c r="C336" s="19" t="n"/>
      <c r="D336" s="20">
        <f>IF(OR(B336="",C336=""),"",(C336-B336)*24)</f>
        <v/>
      </c>
      <c r="E336" s="21" t="n"/>
      <c r="F336" s="21" t="n"/>
      <c r="G336" s="21" t="n"/>
    </row>
    <row r="337">
      <c r="A337" s="18" t="n"/>
      <c r="B337" s="19" t="n"/>
      <c r="C337" s="19" t="n"/>
      <c r="D337" s="20">
        <f>IF(OR(B337="",C337=""),"",(C337-B337)*24)</f>
        <v/>
      </c>
      <c r="E337" s="21" t="n"/>
      <c r="F337" s="21" t="n"/>
      <c r="G337" s="21" t="n"/>
    </row>
    <row r="338">
      <c r="A338" s="18" t="n"/>
      <c r="B338" s="19" t="n"/>
      <c r="C338" s="19" t="n"/>
      <c r="D338" s="20">
        <f>IF(OR(B338="",C338=""),"",(C338-B338)*24)</f>
        <v/>
      </c>
      <c r="E338" s="21" t="n"/>
      <c r="F338" s="21" t="n"/>
      <c r="G338" s="21" t="n"/>
    </row>
    <row r="339">
      <c r="A339" s="18" t="n"/>
      <c r="B339" s="19" t="n"/>
      <c r="C339" s="19" t="n"/>
      <c r="D339" s="20">
        <f>IF(OR(B339="",C339=""),"",(C339-B339)*24)</f>
        <v/>
      </c>
      <c r="E339" s="21" t="n"/>
      <c r="F339" s="21" t="n"/>
      <c r="G339" s="21" t="n"/>
    </row>
    <row r="340">
      <c r="A340" s="18" t="n"/>
      <c r="B340" s="19" t="n"/>
      <c r="C340" s="19" t="n"/>
      <c r="D340" s="20">
        <f>IF(OR(B340="",C340=""),"",(C340-B340)*24)</f>
        <v/>
      </c>
      <c r="E340" s="21" t="n"/>
      <c r="F340" s="21" t="n"/>
      <c r="G340" s="21" t="n"/>
    </row>
    <row r="341">
      <c r="A341" s="18" t="n"/>
      <c r="B341" s="19" t="n"/>
      <c r="C341" s="19" t="n"/>
      <c r="D341" s="20">
        <f>IF(OR(B341="",C341=""),"",(C341-B341)*24)</f>
        <v/>
      </c>
      <c r="E341" s="21" t="n"/>
      <c r="F341" s="21" t="n"/>
      <c r="G341" s="21" t="n"/>
    </row>
    <row r="342">
      <c r="A342" s="18" t="n"/>
      <c r="B342" s="19" t="n"/>
      <c r="C342" s="19" t="n"/>
      <c r="D342" s="20">
        <f>IF(OR(B342="",C342=""),"",(C342-B342)*24)</f>
        <v/>
      </c>
      <c r="E342" s="21" t="n"/>
      <c r="F342" s="21" t="n"/>
      <c r="G342" s="21" t="n"/>
    </row>
    <row r="343">
      <c r="A343" s="18" t="n"/>
      <c r="B343" s="19" t="n"/>
      <c r="C343" s="19" t="n"/>
      <c r="D343" s="20">
        <f>IF(OR(B343="",C343=""),"",(C343-B343)*24)</f>
        <v/>
      </c>
      <c r="E343" s="21" t="n"/>
      <c r="F343" s="21" t="n"/>
      <c r="G343" s="21" t="n"/>
    </row>
    <row r="344">
      <c r="A344" s="18" t="n"/>
      <c r="B344" s="19" t="n"/>
      <c r="C344" s="19" t="n"/>
      <c r="D344" s="20">
        <f>IF(OR(B344="",C344=""),"",(C344-B344)*24)</f>
        <v/>
      </c>
      <c r="E344" s="21" t="n"/>
      <c r="F344" s="21" t="n"/>
      <c r="G344" s="21" t="n"/>
    </row>
    <row r="345">
      <c r="A345" s="18" t="n"/>
      <c r="B345" s="19" t="n"/>
      <c r="C345" s="19" t="n"/>
      <c r="D345" s="20">
        <f>IF(OR(B345="",C345=""),"",(C345-B345)*24)</f>
        <v/>
      </c>
      <c r="E345" s="21" t="n"/>
      <c r="F345" s="21" t="n"/>
      <c r="G345" s="21" t="n"/>
    </row>
    <row r="346">
      <c r="A346" s="18" t="n"/>
      <c r="B346" s="19" t="n"/>
      <c r="C346" s="19" t="n"/>
      <c r="D346" s="20">
        <f>IF(OR(B346="",C346=""),"",(C346-B346)*24)</f>
        <v/>
      </c>
      <c r="E346" s="21" t="n"/>
      <c r="F346" s="21" t="n"/>
      <c r="G346" s="21" t="n"/>
    </row>
    <row r="347">
      <c r="A347" s="18" t="n"/>
      <c r="B347" s="19" t="n"/>
      <c r="C347" s="19" t="n"/>
      <c r="D347" s="20">
        <f>IF(OR(B347="",C347=""),"",(C347-B347)*24)</f>
        <v/>
      </c>
      <c r="E347" s="21" t="n"/>
      <c r="F347" s="21" t="n"/>
      <c r="G347" s="21" t="n"/>
    </row>
    <row r="348">
      <c r="A348" s="18" t="n"/>
      <c r="B348" s="19" t="n"/>
      <c r="C348" s="19" t="n"/>
      <c r="D348" s="20">
        <f>IF(OR(B348="",C348=""),"",(C348-B348)*24)</f>
        <v/>
      </c>
      <c r="E348" s="21" t="n"/>
      <c r="F348" s="21" t="n"/>
      <c r="G348" s="21" t="n"/>
    </row>
    <row r="349">
      <c r="A349" s="18" t="n"/>
      <c r="B349" s="19" t="n"/>
      <c r="C349" s="19" t="n"/>
      <c r="D349" s="20">
        <f>IF(OR(B349="",C349=""),"",(C349-B349)*24)</f>
        <v/>
      </c>
      <c r="E349" s="21" t="n"/>
      <c r="F349" s="21" t="n"/>
      <c r="G349" s="21" t="n"/>
    </row>
    <row r="350">
      <c r="A350" s="18" t="n"/>
      <c r="B350" s="19" t="n"/>
      <c r="C350" s="19" t="n"/>
      <c r="D350" s="20">
        <f>IF(OR(B350="",C350=""),"",(C350-B350)*24)</f>
        <v/>
      </c>
      <c r="E350" s="21" t="n"/>
      <c r="F350" s="21" t="n"/>
      <c r="G350" s="21" t="n"/>
    </row>
    <row r="351">
      <c r="A351" s="18" t="n"/>
      <c r="B351" s="19" t="n"/>
      <c r="C351" s="19" t="n"/>
      <c r="D351" s="20">
        <f>IF(OR(B351="",C351=""),"",(C351-B351)*24)</f>
        <v/>
      </c>
      <c r="E351" s="21" t="n"/>
      <c r="F351" s="21" t="n"/>
      <c r="G351" s="21" t="n"/>
    </row>
    <row r="352">
      <c r="A352" s="18" t="n"/>
      <c r="B352" s="19" t="n"/>
      <c r="C352" s="19" t="n"/>
      <c r="D352" s="20">
        <f>IF(OR(B352="",C352=""),"",(C352-B352)*24)</f>
        <v/>
      </c>
      <c r="E352" s="21" t="n"/>
      <c r="F352" s="21" t="n"/>
      <c r="G352" s="21" t="n"/>
    </row>
    <row r="353">
      <c r="A353" s="18" t="n"/>
      <c r="B353" s="19" t="n"/>
      <c r="C353" s="19" t="n"/>
      <c r="D353" s="20">
        <f>IF(OR(B353="",C353=""),"",(C353-B353)*24)</f>
        <v/>
      </c>
      <c r="E353" s="21" t="n"/>
      <c r="F353" s="21" t="n"/>
      <c r="G353" s="21" t="n"/>
    </row>
    <row r="354">
      <c r="A354" s="18" t="n"/>
      <c r="B354" s="19" t="n"/>
      <c r="C354" s="19" t="n"/>
      <c r="D354" s="20">
        <f>IF(OR(B354="",C354=""),"",(C354-B354)*24)</f>
        <v/>
      </c>
      <c r="E354" s="21" t="n"/>
      <c r="F354" s="21" t="n"/>
      <c r="G354" s="21" t="n"/>
    </row>
    <row r="355">
      <c r="A355" s="18" t="n"/>
      <c r="B355" s="19" t="n"/>
      <c r="C355" s="19" t="n"/>
      <c r="D355" s="20">
        <f>IF(OR(B355="",C355=""),"",(C355-B355)*24)</f>
        <v/>
      </c>
      <c r="E355" s="21" t="n"/>
      <c r="F355" s="21" t="n"/>
      <c r="G355" s="21" t="n"/>
    </row>
    <row r="356">
      <c r="A356" s="18" t="n"/>
      <c r="B356" s="19" t="n"/>
      <c r="C356" s="19" t="n"/>
      <c r="D356" s="20">
        <f>IF(OR(B356="",C356=""),"",(C356-B356)*24)</f>
        <v/>
      </c>
      <c r="E356" s="21" t="n"/>
      <c r="F356" s="21" t="n"/>
      <c r="G356" s="21" t="n"/>
    </row>
    <row r="357">
      <c r="A357" s="18" t="n"/>
      <c r="B357" s="19" t="n"/>
      <c r="C357" s="19" t="n"/>
      <c r="D357" s="20">
        <f>IF(OR(B357="",C357=""),"",(C357-B357)*24)</f>
        <v/>
      </c>
      <c r="E357" s="21" t="n"/>
      <c r="F357" s="21" t="n"/>
      <c r="G357" s="21" t="n"/>
    </row>
    <row r="358">
      <c r="A358" s="18" t="n"/>
      <c r="B358" s="19" t="n"/>
      <c r="C358" s="19" t="n"/>
      <c r="D358" s="20">
        <f>IF(OR(B358="",C358=""),"",(C358-B358)*24)</f>
        <v/>
      </c>
      <c r="E358" s="21" t="n"/>
      <c r="F358" s="21" t="n"/>
      <c r="G358" s="21" t="n"/>
    </row>
    <row r="359">
      <c r="A359" s="18" t="n"/>
      <c r="B359" s="19" t="n"/>
      <c r="C359" s="19" t="n"/>
      <c r="D359" s="20">
        <f>IF(OR(B359="",C359=""),"",(C359-B359)*24)</f>
        <v/>
      </c>
      <c r="E359" s="21" t="n"/>
      <c r="F359" s="21" t="n"/>
      <c r="G359" s="21" t="n"/>
    </row>
    <row r="360">
      <c r="A360" s="18" t="n"/>
      <c r="B360" s="19" t="n"/>
      <c r="C360" s="19" t="n"/>
      <c r="D360" s="20">
        <f>IF(OR(B360="",C360=""),"",(C360-B360)*24)</f>
        <v/>
      </c>
      <c r="E360" s="21" t="n"/>
      <c r="F360" s="21" t="n"/>
      <c r="G360" s="21" t="n"/>
    </row>
    <row r="361">
      <c r="A361" s="18" t="n"/>
      <c r="B361" s="19" t="n"/>
      <c r="C361" s="19" t="n"/>
      <c r="D361" s="20">
        <f>IF(OR(B361="",C361=""),"",(C361-B361)*24)</f>
        <v/>
      </c>
      <c r="E361" s="21" t="n"/>
      <c r="F361" s="21" t="n"/>
      <c r="G361" s="21" t="n"/>
    </row>
    <row r="362">
      <c r="A362" s="18" t="n"/>
      <c r="B362" s="19" t="n"/>
      <c r="C362" s="19" t="n"/>
      <c r="D362" s="20">
        <f>IF(OR(B362="",C362=""),"",(C362-B362)*24)</f>
        <v/>
      </c>
      <c r="E362" s="21" t="n"/>
      <c r="F362" s="21" t="n"/>
      <c r="G362" s="21" t="n"/>
    </row>
    <row r="363">
      <c r="A363" s="18" t="n"/>
      <c r="B363" s="19" t="n"/>
      <c r="C363" s="19" t="n"/>
      <c r="D363" s="20">
        <f>IF(OR(B363="",C363=""),"",(C363-B363)*24)</f>
        <v/>
      </c>
      <c r="E363" s="21" t="n"/>
      <c r="F363" s="21" t="n"/>
      <c r="G363" s="21" t="n"/>
    </row>
    <row r="364">
      <c r="A364" s="18" t="n"/>
      <c r="B364" s="19" t="n"/>
      <c r="C364" s="19" t="n"/>
      <c r="D364" s="20">
        <f>IF(OR(B364="",C364=""),"",(C364-B364)*24)</f>
        <v/>
      </c>
      <c r="E364" s="21" t="n"/>
      <c r="F364" s="21" t="n"/>
      <c r="G364" s="21" t="n"/>
    </row>
    <row r="365">
      <c r="A365" s="18" t="n"/>
      <c r="B365" s="19" t="n"/>
      <c r="C365" s="19" t="n"/>
      <c r="D365" s="20">
        <f>IF(OR(B365="",C365=""),"",(C365-B365)*24)</f>
        <v/>
      </c>
      <c r="E365" s="21" t="n"/>
      <c r="F365" s="21" t="n"/>
      <c r="G365" s="21" t="n"/>
    </row>
    <row r="366">
      <c r="A366" s="18" t="n"/>
      <c r="B366" s="19" t="n"/>
      <c r="C366" s="19" t="n"/>
      <c r="D366" s="20">
        <f>IF(OR(B366="",C366=""),"",(C366-B366)*24)</f>
        <v/>
      </c>
      <c r="E366" s="21" t="n"/>
      <c r="F366" s="21" t="n"/>
      <c r="G366" s="21" t="n"/>
    </row>
    <row r="367">
      <c r="A367" s="18" t="n"/>
      <c r="B367" s="19" t="n"/>
      <c r="C367" s="19" t="n"/>
      <c r="D367" s="20">
        <f>IF(OR(B367="",C367=""),"",(C367-B367)*24)</f>
        <v/>
      </c>
      <c r="E367" s="21" t="n"/>
      <c r="F367" s="21" t="n"/>
      <c r="G367" s="21" t="n"/>
    </row>
    <row r="368">
      <c r="A368" s="18" t="n"/>
      <c r="B368" s="19" t="n"/>
      <c r="C368" s="19" t="n"/>
      <c r="D368" s="20">
        <f>IF(OR(B368="",C368=""),"",(C368-B368)*24)</f>
        <v/>
      </c>
      <c r="E368" s="21" t="n"/>
      <c r="F368" s="21" t="n"/>
      <c r="G368" s="21" t="n"/>
    </row>
    <row r="369">
      <c r="A369" s="18" t="n"/>
      <c r="B369" s="19" t="n"/>
      <c r="C369" s="19" t="n"/>
      <c r="D369" s="20">
        <f>IF(OR(B369="",C369=""),"",(C369-B369)*24)</f>
        <v/>
      </c>
      <c r="E369" s="21" t="n"/>
      <c r="F369" s="21" t="n"/>
      <c r="G369" s="21" t="n"/>
    </row>
    <row r="370">
      <c r="A370" s="18" t="n"/>
      <c r="B370" s="19" t="n"/>
      <c r="C370" s="19" t="n"/>
      <c r="D370" s="20">
        <f>IF(OR(B370="",C370=""),"",(C370-B370)*24)</f>
        <v/>
      </c>
      <c r="E370" s="21" t="n"/>
      <c r="F370" s="21" t="n"/>
      <c r="G370" s="21" t="n"/>
    </row>
    <row r="371">
      <c r="A371" s="18" t="n"/>
      <c r="B371" s="19" t="n"/>
      <c r="C371" s="19" t="n"/>
      <c r="D371" s="20">
        <f>IF(OR(B371="",C371=""),"",(C371-B371)*24)</f>
        <v/>
      </c>
      <c r="E371" s="21" t="n"/>
      <c r="F371" s="21" t="n"/>
      <c r="G371" s="21" t="n"/>
    </row>
    <row r="372">
      <c r="A372" s="18" t="n"/>
      <c r="B372" s="19" t="n"/>
      <c r="C372" s="19" t="n"/>
      <c r="D372" s="20">
        <f>IF(OR(B372="",C372=""),"",(C372-B372)*24)</f>
        <v/>
      </c>
      <c r="E372" s="21" t="n"/>
      <c r="F372" s="21" t="n"/>
      <c r="G372" s="21" t="n"/>
    </row>
    <row r="373">
      <c r="A373" s="18" t="n"/>
      <c r="B373" s="19" t="n"/>
      <c r="C373" s="19" t="n"/>
      <c r="D373" s="20">
        <f>IF(OR(B373="",C373=""),"",(C373-B373)*24)</f>
        <v/>
      </c>
      <c r="E373" s="21" t="n"/>
      <c r="F373" s="21" t="n"/>
      <c r="G373" s="21" t="n"/>
    </row>
    <row r="374">
      <c r="A374" s="18" t="n"/>
      <c r="B374" s="19" t="n"/>
      <c r="C374" s="19" t="n"/>
      <c r="D374" s="20">
        <f>IF(OR(B374="",C374=""),"",(C374-B374)*24)</f>
        <v/>
      </c>
      <c r="E374" s="21" t="n"/>
      <c r="F374" s="21" t="n"/>
      <c r="G374" s="21" t="n"/>
    </row>
    <row r="375">
      <c r="A375" s="18" t="n"/>
      <c r="B375" s="19" t="n"/>
      <c r="C375" s="19" t="n"/>
      <c r="D375" s="20">
        <f>IF(OR(B375="",C375=""),"",(C375-B375)*24)</f>
        <v/>
      </c>
      <c r="E375" s="21" t="n"/>
      <c r="F375" s="21" t="n"/>
      <c r="G375" s="21" t="n"/>
    </row>
    <row r="376">
      <c r="A376" s="18" t="n"/>
      <c r="B376" s="19" t="n"/>
      <c r="C376" s="19" t="n"/>
      <c r="D376" s="20">
        <f>IF(OR(B376="",C376=""),"",(C376-B376)*24)</f>
        <v/>
      </c>
      <c r="E376" s="21" t="n"/>
      <c r="F376" s="21" t="n"/>
      <c r="G376" s="21" t="n"/>
    </row>
    <row r="377">
      <c r="A377" s="18" t="n"/>
      <c r="B377" s="19" t="n"/>
      <c r="C377" s="19" t="n"/>
      <c r="D377" s="20">
        <f>IF(OR(B377="",C377=""),"",(C377-B377)*24)</f>
        <v/>
      </c>
      <c r="E377" s="21" t="n"/>
      <c r="F377" s="21" t="n"/>
      <c r="G377" s="21" t="n"/>
    </row>
    <row r="378">
      <c r="A378" s="18" t="n"/>
      <c r="B378" s="19" t="n"/>
      <c r="C378" s="19" t="n"/>
      <c r="D378" s="20">
        <f>IF(OR(B378="",C378=""),"",(C378-B378)*24)</f>
        <v/>
      </c>
      <c r="E378" s="21" t="n"/>
      <c r="F378" s="21" t="n"/>
      <c r="G378" s="21" t="n"/>
    </row>
    <row r="379">
      <c r="A379" s="18" t="n"/>
      <c r="B379" s="19" t="n"/>
      <c r="C379" s="19" t="n"/>
      <c r="D379" s="20">
        <f>IF(OR(B379="",C379=""),"",(C379-B379)*24)</f>
        <v/>
      </c>
      <c r="E379" s="21" t="n"/>
      <c r="F379" s="21" t="n"/>
      <c r="G379" s="21" t="n"/>
    </row>
    <row r="380">
      <c r="A380" s="18" t="n"/>
      <c r="B380" s="19" t="n"/>
      <c r="C380" s="19" t="n"/>
      <c r="D380" s="20">
        <f>IF(OR(B380="",C380=""),"",(C380-B380)*24)</f>
        <v/>
      </c>
      <c r="E380" s="21" t="n"/>
      <c r="F380" s="21" t="n"/>
      <c r="G380" s="21" t="n"/>
    </row>
    <row r="381">
      <c r="A381" s="18" t="n"/>
      <c r="B381" s="19" t="n"/>
      <c r="C381" s="19" t="n"/>
      <c r="D381" s="20">
        <f>IF(OR(B381="",C381=""),"",(C381-B381)*24)</f>
        <v/>
      </c>
      <c r="E381" s="21" t="n"/>
      <c r="F381" s="21" t="n"/>
      <c r="G381" s="21" t="n"/>
    </row>
    <row r="382">
      <c r="A382" s="18" t="n"/>
      <c r="B382" s="19" t="n"/>
      <c r="C382" s="19" t="n"/>
      <c r="D382" s="20">
        <f>IF(OR(B382="",C382=""),"",(C382-B382)*24)</f>
        <v/>
      </c>
      <c r="E382" s="21" t="n"/>
      <c r="F382" s="21" t="n"/>
      <c r="G382" s="21" t="n"/>
    </row>
    <row r="383">
      <c r="A383" s="18" t="n"/>
      <c r="B383" s="19" t="n"/>
      <c r="C383" s="19" t="n"/>
      <c r="D383" s="20">
        <f>IF(OR(B383="",C383=""),"",(C383-B383)*24)</f>
        <v/>
      </c>
      <c r="E383" s="21" t="n"/>
      <c r="F383" s="21" t="n"/>
      <c r="G383" s="21" t="n"/>
    </row>
    <row r="384">
      <c r="A384" s="18" t="n"/>
      <c r="B384" s="19" t="n"/>
      <c r="C384" s="19" t="n"/>
      <c r="D384" s="20">
        <f>IF(OR(B384="",C384=""),"",(C384-B384)*24)</f>
        <v/>
      </c>
      <c r="E384" s="21" t="n"/>
      <c r="F384" s="21" t="n"/>
      <c r="G384" s="21" t="n"/>
    </row>
    <row r="385">
      <c r="A385" s="18" t="n"/>
      <c r="B385" s="19" t="n"/>
      <c r="C385" s="19" t="n"/>
      <c r="D385" s="20">
        <f>IF(OR(B385="",C385=""),"",(C385-B385)*24)</f>
        <v/>
      </c>
      <c r="E385" s="21" t="n"/>
      <c r="F385" s="21" t="n"/>
      <c r="G385" s="21" t="n"/>
    </row>
    <row r="386">
      <c r="A386" s="18" t="n"/>
      <c r="B386" s="19" t="n"/>
      <c r="C386" s="19" t="n"/>
      <c r="D386" s="20">
        <f>IF(OR(B386="",C386=""),"",(C386-B386)*24)</f>
        <v/>
      </c>
      <c r="E386" s="21" t="n"/>
      <c r="F386" s="21" t="n"/>
      <c r="G386" s="21" t="n"/>
    </row>
    <row r="387">
      <c r="A387" s="18" t="n"/>
      <c r="B387" s="19" t="n"/>
      <c r="C387" s="19" t="n"/>
      <c r="D387" s="20">
        <f>IF(OR(B387="",C387=""),"",(C387-B387)*24)</f>
        <v/>
      </c>
      <c r="E387" s="21" t="n"/>
      <c r="F387" s="21" t="n"/>
      <c r="G387" s="21" t="n"/>
    </row>
    <row r="388">
      <c r="A388" s="18" t="n"/>
      <c r="B388" s="19" t="n"/>
      <c r="C388" s="19" t="n"/>
      <c r="D388" s="20">
        <f>IF(OR(B388="",C388=""),"",(C388-B388)*24)</f>
        <v/>
      </c>
      <c r="E388" s="21" t="n"/>
      <c r="F388" s="21" t="n"/>
      <c r="G388" s="21" t="n"/>
    </row>
    <row r="389">
      <c r="A389" s="18" t="n"/>
      <c r="B389" s="19" t="n"/>
      <c r="C389" s="19" t="n"/>
      <c r="D389" s="20">
        <f>IF(OR(B389="",C389=""),"",(C389-B389)*24)</f>
        <v/>
      </c>
      <c r="E389" s="21" t="n"/>
      <c r="F389" s="21" t="n"/>
      <c r="G389" s="21" t="n"/>
    </row>
    <row r="390">
      <c r="A390" s="18" t="n"/>
      <c r="B390" s="19" t="n"/>
      <c r="C390" s="19" t="n"/>
      <c r="D390" s="20">
        <f>IF(OR(B390="",C390=""),"",(C390-B390)*24)</f>
        <v/>
      </c>
      <c r="E390" s="21" t="n"/>
      <c r="F390" s="21" t="n"/>
      <c r="G390" s="21" t="n"/>
    </row>
    <row r="391">
      <c r="A391" s="18" t="n"/>
      <c r="B391" s="19" t="n"/>
      <c r="C391" s="19" t="n"/>
      <c r="D391" s="20">
        <f>IF(OR(B391="",C391=""),"",(C391-B391)*24)</f>
        <v/>
      </c>
      <c r="E391" s="21" t="n"/>
      <c r="F391" s="21" t="n"/>
      <c r="G391" s="21" t="n"/>
    </row>
    <row r="392">
      <c r="A392" s="18" t="n"/>
      <c r="B392" s="19" t="n"/>
      <c r="C392" s="19" t="n"/>
      <c r="D392" s="20">
        <f>IF(OR(B392="",C392=""),"",(C392-B392)*24)</f>
        <v/>
      </c>
      <c r="E392" s="21" t="n"/>
      <c r="F392" s="21" t="n"/>
      <c r="G392" s="21" t="n"/>
    </row>
    <row r="393">
      <c r="A393" s="18" t="n"/>
      <c r="B393" s="19" t="n"/>
      <c r="C393" s="19" t="n"/>
      <c r="D393" s="20">
        <f>IF(OR(B393="",C393=""),"",(C393-B393)*24)</f>
        <v/>
      </c>
      <c r="E393" s="21" t="n"/>
      <c r="F393" s="21" t="n"/>
      <c r="G393" s="21" t="n"/>
    </row>
    <row r="394">
      <c r="A394" s="18" t="n"/>
      <c r="B394" s="19" t="n"/>
      <c r="C394" s="19" t="n"/>
      <c r="D394" s="20">
        <f>IF(OR(B394="",C394=""),"",(C394-B394)*24)</f>
        <v/>
      </c>
      <c r="E394" s="21" t="n"/>
      <c r="F394" s="21" t="n"/>
      <c r="G394" s="21" t="n"/>
    </row>
    <row r="395">
      <c r="A395" s="18" t="n"/>
      <c r="B395" s="19" t="n"/>
      <c r="C395" s="19" t="n"/>
      <c r="D395" s="20">
        <f>IF(OR(B395="",C395=""),"",(C395-B395)*24)</f>
        <v/>
      </c>
      <c r="E395" s="21" t="n"/>
      <c r="F395" s="21" t="n"/>
      <c r="G395" s="21" t="n"/>
    </row>
    <row r="396">
      <c r="A396" s="18" t="n"/>
      <c r="B396" s="19" t="n"/>
      <c r="C396" s="19" t="n"/>
      <c r="D396" s="20">
        <f>IF(OR(B396="",C396=""),"",(C396-B396)*24)</f>
        <v/>
      </c>
      <c r="E396" s="21" t="n"/>
      <c r="F396" s="21" t="n"/>
      <c r="G396" s="21" t="n"/>
    </row>
    <row r="397">
      <c r="A397" s="18" t="n"/>
      <c r="B397" s="19" t="n"/>
      <c r="C397" s="19" t="n"/>
      <c r="D397" s="20">
        <f>IF(OR(B397="",C397=""),"",(C397-B397)*24)</f>
        <v/>
      </c>
      <c r="E397" s="21" t="n"/>
      <c r="F397" s="21" t="n"/>
      <c r="G397" s="21" t="n"/>
    </row>
    <row r="398">
      <c r="A398" s="18" t="n"/>
      <c r="B398" s="19" t="n"/>
      <c r="C398" s="19" t="n"/>
      <c r="D398" s="20">
        <f>IF(OR(B398="",C398=""),"",(C398-B398)*24)</f>
        <v/>
      </c>
      <c r="E398" s="21" t="n"/>
      <c r="F398" s="21" t="n"/>
      <c r="G398" s="21" t="n"/>
    </row>
    <row r="399">
      <c r="A399" s="18" t="n"/>
      <c r="B399" s="19" t="n"/>
      <c r="C399" s="19" t="n"/>
      <c r="D399" s="20">
        <f>IF(OR(B399="",C399=""),"",(C399-B399)*24)</f>
        <v/>
      </c>
      <c r="E399" s="21" t="n"/>
      <c r="F399" s="21" t="n"/>
      <c r="G399" s="21" t="n"/>
    </row>
    <row r="400">
      <c r="A400" s="18" t="n"/>
      <c r="B400" s="19" t="n"/>
      <c r="C400" s="19" t="n"/>
      <c r="D400" s="20">
        <f>IF(OR(B400="",C400=""),"",(C400-B400)*24)</f>
        <v/>
      </c>
      <c r="E400" s="21" t="n"/>
      <c r="F400" s="21" t="n"/>
      <c r="G400" s="21" t="n"/>
    </row>
    <row r="401">
      <c r="A401" s="18" t="n"/>
      <c r="B401" s="19" t="n"/>
      <c r="C401" s="19" t="n"/>
      <c r="D401" s="20">
        <f>IF(OR(B401="",C401=""),"",(C401-B401)*24)</f>
        <v/>
      </c>
      <c r="E401" s="21" t="n"/>
      <c r="F401" s="21" t="n"/>
      <c r="G401" s="21" t="n"/>
    </row>
    <row r="402">
      <c r="A402" s="18" t="n"/>
      <c r="B402" s="19" t="n"/>
      <c r="C402" s="19" t="n"/>
      <c r="D402" s="20">
        <f>IF(OR(B402="",C402=""),"",(C402-B402)*24)</f>
        <v/>
      </c>
      <c r="E402" s="21" t="n"/>
      <c r="F402" s="21" t="n"/>
      <c r="G402" s="21" t="n"/>
    </row>
    <row r="403">
      <c r="A403" s="18" t="n"/>
      <c r="B403" s="19" t="n"/>
      <c r="C403" s="19" t="n"/>
      <c r="D403" s="20">
        <f>IF(OR(B403="",C403=""),"",(C403-B403)*24)</f>
        <v/>
      </c>
      <c r="E403" s="21" t="n"/>
      <c r="F403" s="21" t="n"/>
      <c r="G403" s="21" t="n"/>
    </row>
    <row r="404">
      <c r="A404" s="18" t="n"/>
      <c r="B404" s="19" t="n"/>
      <c r="C404" s="19" t="n"/>
      <c r="D404" s="20">
        <f>IF(OR(B404="",C404=""),"",(C404-B404)*24)</f>
        <v/>
      </c>
      <c r="E404" s="21" t="n"/>
      <c r="F404" s="21" t="n"/>
      <c r="G404" s="21" t="n"/>
    </row>
    <row r="405">
      <c r="A405" s="18" t="n"/>
      <c r="B405" s="19" t="n"/>
      <c r="C405" s="19" t="n"/>
      <c r="D405" s="20">
        <f>IF(OR(B405="",C405=""),"",(C405-B405)*24)</f>
        <v/>
      </c>
      <c r="E405" s="21" t="n"/>
      <c r="F405" s="21" t="n"/>
      <c r="G405" s="21" t="n"/>
    </row>
    <row r="406">
      <c r="A406" s="18" t="n"/>
      <c r="B406" s="19" t="n"/>
      <c r="C406" s="19" t="n"/>
      <c r="D406" s="20">
        <f>IF(OR(B406="",C406=""),"",(C406-B406)*24)</f>
        <v/>
      </c>
      <c r="E406" s="21" t="n"/>
      <c r="F406" s="21" t="n"/>
      <c r="G406" s="21" t="n"/>
    </row>
    <row r="407">
      <c r="A407" s="18" t="n"/>
      <c r="B407" s="19" t="n"/>
      <c r="C407" s="19" t="n"/>
      <c r="D407" s="20">
        <f>IF(OR(B407="",C407=""),"",(C407-B407)*24)</f>
        <v/>
      </c>
      <c r="E407" s="21" t="n"/>
      <c r="F407" s="21" t="n"/>
      <c r="G407" s="21" t="n"/>
    </row>
    <row r="408">
      <c r="A408" s="18" t="n"/>
      <c r="B408" s="19" t="n"/>
      <c r="C408" s="19" t="n"/>
      <c r="D408" s="20">
        <f>IF(OR(B408="",C408=""),"",(C408-B408)*24)</f>
        <v/>
      </c>
      <c r="E408" s="21" t="n"/>
      <c r="F408" s="21" t="n"/>
      <c r="G408" s="21" t="n"/>
    </row>
    <row r="409">
      <c r="A409" s="18" t="n"/>
      <c r="B409" s="19" t="n"/>
      <c r="C409" s="19" t="n"/>
      <c r="D409" s="20">
        <f>IF(OR(B409="",C409=""),"",(C409-B409)*24)</f>
        <v/>
      </c>
      <c r="E409" s="21" t="n"/>
      <c r="F409" s="21" t="n"/>
      <c r="G409" s="21" t="n"/>
    </row>
    <row r="410">
      <c r="A410" s="18" t="n"/>
      <c r="B410" s="19" t="n"/>
      <c r="C410" s="19" t="n"/>
      <c r="D410" s="20">
        <f>IF(OR(B410="",C410=""),"",(C410-B410)*24)</f>
        <v/>
      </c>
      <c r="E410" s="21" t="n"/>
      <c r="F410" s="21" t="n"/>
      <c r="G410" s="21" t="n"/>
    </row>
    <row r="411">
      <c r="A411" s="18" t="n"/>
      <c r="B411" s="19" t="n"/>
      <c r="C411" s="19" t="n"/>
      <c r="D411" s="20">
        <f>IF(OR(B411="",C411=""),"",(C411-B411)*24)</f>
        <v/>
      </c>
      <c r="E411" s="21" t="n"/>
      <c r="F411" s="21" t="n"/>
      <c r="G411" s="21" t="n"/>
    </row>
    <row r="412">
      <c r="A412" s="18" t="n"/>
      <c r="B412" s="19" t="n"/>
      <c r="C412" s="19" t="n"/>
      <c r="D412" s="20">
        <f>IF(OR(B412="",C412=""),"",(C412-B412)*24)</f>
        <v/>
      </c>
      <c r="E412" s="21" t="n"/>
      <c r="F412" s="21" t="n"/>
      <c r="G412" s="21" t="n"/>
    </row>
    <row r="413">
      <c r="A413" s="18" t="n"/>
      <c r="B413" s="19" t="n"/>
      <c r="C413" s="19" t="n"/>
      <c r="D413" s="20">
        <f>IF(OR(B413="",C413=""),"",(C413-B413)*24)</f>
        <v/>
      </c>
      <c r="E413" s="21" t="n"/>
      <c r="F413" s="21" t="n"/>
      <c r="G413" s="21" t="n"/>
    </row>
    <row r="414">
      <c r="A414" s="18" t="n"/>
      <c r="B414" s="19" t="n"/>
      <c r="C414" s="19" t="n"/>
      <c r="D414" s="20">
        <f>IF(OR(B414="",C414=""),"",(C414-B414)*24)</f>
        <v/>
      </c>
      <c r="E414" s="21" t="n"/>
      <c r="F414" s="21" t="n"/>
      <c r="G414" s="21" t="n"/>
    </row>
    <row r="415">
      <c r="A415" s="18" t="n"/>
      <c r="B415" s="19" t="n"/>
      <c r="C415" s="19" t="n"/>
      <c r="D415" s="20">
        <f>IF(OR(B415="",C415=""),"",(C415-B415)*24)</f>
        <v/>
      </c>
      <c r="E415" s="21" t="n"/>
      <c r="F415" s="21" t="n"/>
      <c r="G415" s="21" t="n"/>
    </row>
    <row r="416">
      <c r="A416" s="18" t="n"/>
      <c r="B416" s="19" t="n"/>
      <c r="C416" s="19" t="n"/>
      <c r="D416" s="20">
        <f>IF(OR(B416="",C416=""),"",(C416-B416)*24)</f>
        <v/>
      </c>
      <c r="E416" s="21" t="n"/>
      <c r="F416" s="21" t="n"/>
      <c r="G416" s="21" t="n"/>
    </row>
    <row r="417">
      <c r="A417" s="18" t="n"/>
      <c r="B417" s="19" t="n"/>
      <c r="C417" s="19" t="n"/>
      <c r="D417" s="20">
        <f>IF(OR(B417="",C417=""),"",(C417-B417)*24)</f>
        <v/>
      </c>
      <c r="E417" s="21" t="n"/>
      <c r="F417" s="21" t="n"/>
      <c r="G417" s="21" t="n"/>
    </row>
    <row r="418">
      <c r="A418" s="18" t="n"/>
      <c r="B418" s="19" t="n"/>
      <c r="C418" s="19" t="n"/>
      <c r="D418" s="20">
        <f>IF(OR(B418="",C418=""),"",(C418-B418)*24)</f>
        <v/>
      </c>
      <c r="E418" s="21" t="n"/>
      <c r="F418" s="21" t="n"/>
      <c r="G418" s="21" t="n"/>
    </row>
    <row r="419">
      <c r="A419" s="18" t="n"/>
      <c r="B419" s="19" t="n"/>
      <c r="C419" s="19" t="n"/>
      <c r="D419" s="20">
        <f>IF(OR(B419="",C419=""),"",(C419-B419)*24)</f>
        <v/>
      </c>
      <c r="E419" s="21" t="n"/>
      <c r="F419" s="21" t="n"/>
      <c r="G419" s="21" t="n"/>
    </row>
    <row r="420">
      <c r="A420" s="18" t="n"/>
      <c r="B420" s="19" t="n"/>
      <c r="C420" s="19" t="n"/>
      <c r="D420" s="20">
        <f>IF(OR(B420="",C420=""),"",(C420-B420)*24)</f>
        <v/>
      </c>
      <c r="E420" s="21" t="n"/>
      <c r="F420" s="21" t="n"/>
      <c r="G420" s="21" t="n"/>
    </row>
    <row r="421">
      <c r="A421" s="18" t="n"/>
      <c r="B421" s="19" t="n"/>
      <c r="C421" s="19" t="n"/>
      <c r="D421" s="20">
        <f>IF(OR(B421="",C421=""),"",(C421-B421)*24)</f>
        <v/>
      </c>
      <c r="E421" s="21" t="n"/>
      <c r="F421" s="21" t="n"/>
      <c r="G421" s="21" t="n"/>
    </row>
    <row r="422">
      <c r="A422" s="18" t="n"/>
      <c r="B422" s="19" t="n"/>
      <c r="C422" s="19" t="n"/>
      <c r="D422" s="20">
        <f>IF(OR(B422="",C422=""),"",(C422-B422)*24)</f>
        <v/>
      </c>
      <c r="E422" s="21" t="n"/>
      <c r="F422" s="21" t="n"/>
      <c r="G422" s="21" t="n"/>
    </row>
    <row r="423">
      <c r="A423" s="18" t="n"/>
      <c r="B423" s="19" t="n"/>
      <c r="C423" s="19" t="n"/>
      <c r="D423" s="20">
        <f>IF(OR(B423="",C423=""),"",(C423-B423)*24)</f>
        <v/>
      </c>
      <c r="E423" s="21" t="n"/>
      <c r="F423" s="21" t="n"/>
      <c r="G423" s="21" t="n"/>
    </row>
    <row r="424">
      <c r="A424" s="18" t="n"/>
      <c r="B424" s="19" t="n"/>
      <c r="C424" s="19" t="n"/>
      <c r="D424" s="20">
        <f>IF(OR(B424="",C424=""),"",(C424-B424)*24)</f>
        <v/>
      </c>
      <c r="E424" s="21" t="n"/>
      <c r="F424" s="21" t="n"/>
      <c r="G424" s="21" t="n"/>
    </row>
    <row r="425">
      <c r="A425" s="18" t="n"/>
      <c r="B425" s="19" t="n"/>
      <c r="C425" s="19" t="n"/>
      <c r="D425" s="20">
        <f>IF(OR(B425="",C425=""),"",(C425-B425)*24)</f>
        <v/>
      </c>
      <c r="E425" s="21" t="n"/>
      <c r="F425" s="21" t="n"/>
      <c r="G425" s="21" t="n"/>
    </row>
    <row r="426">
      <c r="A426" s="18" t="n"/>
      <c r="B426" s="19" t="n"/>
      <c r="C426" s="19" t="n"/>
      <c r="D426" s="20">
        <f>IF(OR(B426="",C426=""),"",(C426-B426)*24)</f>
        <v/>
      </c>
      <c r="E426" s="21" t="n"/>
      <c r="F426" s="21" t="n"/>
      <c r="G426" s="21" t="n"/>
    </row>
    <row r="427">
      <c r="A427" s="18" t="n"/>
      <c r="B427" s="19" t="n"/>
      <c r="C427" s="19" t="n"/>
      <c r="D427" s="20">
        <f>IF(OR(B427="",C427=""),"",(C427-B427)*24)</f>
        <v/>
      </c>
      <c r="E427" s="21" t="n"/>
      <c r="F427" s="21" t="n"/>
      <c r="G427" s="21" t="n"/>
    </row>
    <row r="428">
      <c r="A428" s="18" t="n"/>
      <c r="B428" s="19" t="n"/>
      <c r="C428" s="19" t="n"/>
      <c r="D428" s="20">
        <f>IF(OR(B428="",C428=""),"",(C428-B428)*24)</f>
        <v/>
      </c>
      <c r="E428" s="21" t="n"/>
      <c r="F428" s="21" t="n"/>
      <c r="G428" s="21" t="n"/>
    </row>
    <row r="429">
      <c r="A429" s="18" t="n"/>
      <c r="B429" s="19" t="n"/>
      <c r="C429" s="19" t="n"/>
      <c r="D429" s="20">
        <f>IF(OR(B429="",C429=""),"",(C429-B429)*24)</f>
        <v/>
      </c>
      <c r="E429" s="21" t="n"/>
      <c r="F429" s="21" t="n"/>
      <c r="G429" s="21" t="n"/>
    </row>
    <row r="430">
      <c r="A430" s="18" t="n"/>
      <c r="B430" s="19" t="n"/>
      <c r="C430" s="19" t="n"/>
      <c r="D430" s="20">
        <f>IF(OR(B430="",C430=""),"",(C430-B430)*24)</f>
        <v/>
      </c>
      <c r="E430" s="21" t="n"/>
      <c r="F430" s="21" t="n"/>
      <c r="G430" s="21" t="n"/>
    </row>
    <row r="431">
      <c r="A431" s="18" t="n"/>
      <c r="B431" s="19" t="n"/>
      <c r="C431" s="19" t="n"/>
      <c r="D431" s="20">
        <f>IF(OR(B431="",C431=""),"",(C431-B431)*24)</f>
        <v/>
      </c>
      <c r="E431" s="21" t="n"/>
      <c r="F431" s="21" t="n"/>
      <c r="G431" s="21" t="n"/>
    </row>
    <row r="432">
      <c r="A432" s="18" t="n"/>
      <c r="B432" s="19" t="n"/>
      <c r="C432" s="19" t="n"/>
      <c r="D432" s="20">
        <f>IF(OR(B432="",C432=""),"",(C432-B432)*24)</f>
        <v/>
      </c>
      <c r="E432" s="21" t="n"/>
      <c r="F432" s="21" t="n"/>
      <c r="G432" s="21" t="n"/>
    </row>
    <row r="433">
      <c r="A433" s="18" t="n"/>
      <c r="B433" s="19" t="n"/>
      <c r="C433" s="19" t="n"/>
      <c r="D433" s="20">
        <f>IF(OR(B433="",C433=""),"",(C433-B433)*24)</f>
        <v/>
      </c>
      <c r="E433" s="21" t="n"/>
      <c r="F433" s="21" t="n"/>
      <c r="G433" s="21" t="n"/>
    </row>
    <row r="434">
      <c r="A434" s="18" t="n"/>
      <c r="B434" s="19" t="n"/>
      <c r="C434" s="19" t="n"/>
      <c r="D434" s="20">
        <f>IF(OR(B434="",C434=""),"",(C434-B434)*24)</f>
        <v/>
      </c>
      <c r="E434" s="21" t="n"/>
      <c r="F434" s="21" t="n"/>
      <c r="G434" s="21" t="n"/>
    </row>
    <row r="435">
      <c r="A435" s="18" t="n"/>
      <c r="B435" s="19" t="n"/>
      <c r="C435" s="19" t="n"/>
      <c r="D435" s="20">
        <f>IF(OR(B435="",C435=""),"",(C435-B435)*24)</f>
        <v/>
      </c>
      <c r="E435" s="21" t="n"/>
      <c r="F435" s="21" t="n"/>
      <c r="G435" s="21" t="n"/>
    </row>
    <row r="436">
      <c r="A436" s="18" t="n"/>
      <c r="B436" s="19" t="n"/>
      <c r="C436" s="19" t="n"/>
      <c r="D436" s="20">
        <f>IF(OR(B436="",C436=""),"",(C436-B436)*24)</f>
        <v/>
      </c>
      <c r="E436" s="21" t="n"/>
      <c r="F436" s="21" t="n"/>
      <c r="G436" s="21" t="n"/>
    </row>
    <row r="437">
      <c r="A437" s="18" t="n"/>
      <c r="B437" s="19" t="n"/>
      <c r="C437" s="19" t="n"/>
      <c r="D437" s="20">
        <f>IF(OR(B437="",C437=""),"",(C437-B437)*24)</f>
        <v/>
      </c>
      <c r="E437" s="21" t="n"/>
      <c r="F437" s="21" t="n"/>
      <c r="G437" s="21" t="n"/>
    </row>
    <row r="438">
      <c r="A438" s="18" t="n"/>
      <c r="B438" s="19" t="n"/>
      <c r="C438" s="19" t="n"/>
      <c r="D438" s="20">
        <f>IF(OR(B438="",C438=""),"",(C438-B438)*24)</f>
        <v/>
      </c>
      <c r="E438" s="21" t="n"/>
      <c r="F438" s="21" t="n"/>
      <c r="G438" s="21" t="n"/>
    </row>
    <row r="439">
      <c r="A439" s="18" t="n"/>
      <c r="B439" s="19" t="n"/>
      <c r="C439" s="19" t="n"/>
      <c r="D439" s="20">
        <f>IF(OR(B439="",C439=""),"",(C439-B439)*24)</f>
        <v/>
      </c>
      <c r="E439" s="21" t="n"/>
      <c r="F439" s="21" t="n"/>
      <c r="G439" s="21" t="n"/>
    </row>
    <row r="440">
      <c r="A440" s="18" t="n"/>
      <c r="B440" s="19" t="n"/>
      <c r="C440" s="19" t="n"/>
      <c r="D440" s="20">
        <f>IF(OR(B440="",C440=""),"",(C440-B440)*24)</f>
        <v/>
      </c>
      <c r="E440" s="21" t="n"/>
      <c r="F440" s="21" t="n"/>
      <c r="G440" s="21" t="n"/>
    </row>
    <row r="441">
      <c r="A441" s="18" t="n"/>
      <c r="B441" s="19" t="n"/>
      <c r="C441" s="19" t="n"/>
      <c r="D441" s="20">
        <f>IF(OR(B441="",C441=""),"",(C441-B441)*24)</f>
        <v/>
      </c>
      <c r="E441" s="21" t="n"/>
      <c r="F441" s="21" t="n"/>
      <c r="G441" s="21" t="n"/>
    </row>
    <row r="442">
      <c r="A442" s="18" t="n"/>
      <c r="B442" s="19" t="n"/>
      <c r="C442" s="19" t="n"/>
      <c r="D442" s="20">
        <f>IF(OR(B442="",C442=""),"",(C442-B442)*24)</f>
        <v/>
      </c>
      <c r="E442" s="21" t="n"/>
      <c r="F442" s="21" t="n"/>
      <c r="G442" s="21" t="n"/>
    </row>
    <row r="443">
      <c r="A443" s="18" t="n"/>
      <c r="B443" s="19" t="n"/>
      <c r="C443" s="19" t="n"/>
      <c r="D443" s="20">
        <f>IF(OR(B443="",C443=""),"",(C443-B443)*24)</f>
        <v/>
      </c>
      <c r="E443" s="21" t="n"/>
      <c r="F443" s="21" t="n"/>
      <c r="G443" s="21" t="n"/>
    </row>
    <row r="444">
      <c r="A444" s="18" t="n"/>
      <c r="B444" s="19" t="n"/>
      <c r="C444" s="19" t="n"/>
      <c r="D444" s="20">
        <f>IF(OR(B444="",C444=""),"",(C444-B444)*24)</f>
        <v/>
      </c>
      <c r="E444" s="21" t="n"/>
      <c r="F444" s="21" t="n"/>
      <c r="G444" s="21" t="n"/>
    </row>
    <row r="445">
      <c r="A445" s="18" t="n"/>
      <c r="B445" s="19" t="n"/>
      <c r="C445" s="19" t="n"/>
      <c r="D445" s="20">
        <f>IF(OR(B445="",C445=""),"",(C445-B445)*24)</f>
        <v/>
      </c>
      <c r="E445" s="21" t="n"/>
      <c r="F445" s="21" t="n"/>
      <c r="G445" s="21" t="n"/>
    </row>
    <row r="446">
      <c r="A446" s="18" t="n"/>
      <c r="B446" s="19" t="n"/>
      <c r="C446" s="19" t="n"/>
      <c r="D446" s="20">
        <f>IF(OR(B446="",C446=""),"",(C446-B446)*24)</f>
        <v/>
      </c>
      <c r="E446" s="21" t="n"/>
      <c r="F446" s="21" t="n"/>
      <c r="G446" s="21" t="n"/>
    </row>
    <row r="447">
      <c r="A447" s="18" t="n"/>
      <c r="B447" s="19" t="n"/>
      <c r="C447" s="19" t="n"/>
      <c r="D447" s="20">
        <f>IF(OR(B447="",C447=""),"",(C447-B447)*24)</f>
        <v/>
      </c>
      <c r="E447" s="21" t="n"/>
      <c r="F447" s="21" t="n"/>
      <c r="G447" s="21" t="n"/>
    </row>
    <row r="448">
      <c r="A448" s="18" t="n"/>
      <c r="B448" s="19" t="n"/>
      <c r="C448" s="19" t="n"/>
      <c r="D448" s="20">
        <f>IF(OR(B448="",C448=""),"",(C448-B448)*24)</f>
        <v/>
      </c>
      <c r="E448" s="21" t="n"/>
      <c r="F448" s="21" t="n"/>
      <c r="G448" s="21" t="n"/>
    </row>
    <row r="449">
      <c r="A449" s="18" t="n"/>
      <c r="B449" s="19" t="n"/>
      <c r="C449" s="19" t="n"/>
      <c r="D449" s="20">
        <f>IF(OR(B449="",C449=""),"",(C449-B449)*24)</f>
        <v/>
      </c>
      <c r="E449" s="21" t="n"/>
      <c r="F449" s="21" t="n"/>
      <c r="G449" s="21" t="n"/>
    </row>
    <row r="450">
      <c r="A450" s="18" t="n"/>
      <c r="B450" s="19" t="n"/>
      <c r="C450" s="19" t="n"/>
      <c r="D450" s="20">
        <f>IF(OR(B450="",C450=""),"",(C450-B450)*24)</f>
        <v/>
      </c>
      <c r="E450" s="21" t="n"/>
      <c r="F450" s="21" t="n"/>
      <c r="G450" s="21" t="n"/>
    </row>
    <row r="451">
      <c r="A451" s="18" t="n"/>
      <c r="B451" s="19" t="n"/>
      <c r="C451" s="19" t="n"/>
      <c r="D451" s="20">
        <f>IF(OR(B451="",C451=""),"",(C451-B451)*24)</f>
        <v/>
      </c>
      <c r="E451" s="21" t="n"/>
      <c r="F451" s="21" t="n"/>
      <c r="G451" s="21" t="n"/>
    </row>
    <row r="452">
      <c r="A452" s="18" t="n"/>
      <c r="B452" s="19" t="n"/>
      <c r="C452" s="19" t="n"/>
      <c r="D452" s="20">
        <f>IF(OR(B452="",C452=""),"",(C452-B452)*24)</f>
        <v/>
      </c>
      <c r="E452" s="21" t="n"/>
      <c r="F452" s="21" t="n"/>
      <c r="G452" s="21" t="n"/>
    </row>
    <row r="453">
      <c r="A453" s="18" t="n"/>
      <c r="B453" s="19" t="n"/>
      <c r="C453" s="19" t="n"/>
      <c r="D453" s="20">
        <f>IF(OR(B453="",C453=""),"",(C453-B453)*24)</f>
        <v/>
      </c>
      <c r="E453" s="21" t="n"/>
      <c r="F453" s="21" t="n"/>
      <c r="G453" s="21" t="n"/>
    </row>
    <row r="454">
      <c r="A454" s="18" t="n"/>
      <c r="B454" s="19" t="n"/>
      <c r="C454" s="19" t="n"/>
      <c r="D454" s="20">
        <f>IF(OR(B454="",C454=""),"",(C454-B454)*24)</f>
        <v/>
      </c>
      <c r="E454" s="21" t="n"/>
      <c r="F454" s="21" t="n"/>
      <c r="G454" s="21" t="n"/>
    </row>
    <row r="455">
      <c r="A455" s="18" t="n"/>
      <c r="B455" s="19" t="n"/>
      <c r="C455" s="19" t="n"/>
      <c r="D455" s="20">
        <f>IF(OR(B455="",C455=""),"",(C455-B455)*24)</f>
        <v/>
      </c>
      <c r="E455" s="21" t="n"/>
      <c r="F455" s="21" t="n"/>
      <c r="G455" s="21" t="n"/>
    </row>
    <row r="456">
      <c r="A456" s="18" t="n"/>
      <c r="B456" s="19" t="n"/>
      <c r="C456" s="19" t="n"/>
      <c r="D456" s="20">
        <f>IF(OR(B456="",C456=""),"",(C456-B456)*24)</f>
        <v/>
      </c>
      <c r="E456" s="21" t="n"/>
      <c r="F456" s="21" t="n"/>
      <c r="G456" s="21" t="n"/>
    </row>
    <row r="457">
      <c r="A457" s="18" t="n"/>
      <c r="B457" s="19" t="n"/>
      <c r="C457" s="19" t="n"/>
      <c r="D457" s="20">
        <f>IF(OR(B457="",C457=""),"",(C457-B457)*24)</f>
        <v/>
      </c>
      <c r="E457" s="21" t="n"/>
      <c r="F457" s="21" t="n"/>
      <c r="G457" s="21" t="n"/>
    </row>
    <row r="458">
      <c r="A458" s="18" t="n"/>
      <c r="B458" s="19" t="n"/>
      <c r="C458" s="19" t="n"/>
      <c r="D458" s="20">
        <f>IF(OR(B458="",C458=""),"",(C458-B458)*24)</f>
        <v/>
      </c>
      <c r="E458" s="21" t="n"/>
      <c r="F458" s="21" t="n"/>
      <c r="G458" s="21" t="n"/>
    </row>
    <row r="459">
      <c r="A459" s="18" t="n"/>
      <c r="B459" s="19" t="n"/>
      <c r="C459" s="19" t="n"/>
      <c r="D459" s="20">
        <f>IF(OR(B459="",C459=""),"",(C459-B459)*24)</f>
        <v/>
      </c>
      <c r="E459" s="21" t="n"/>
      <c r="F459" s="21" t="n"/>
      <c r="G459" s="21" t="n"/>
    </row>
    <row r="460">
      <c r="A460" s="18" t="n"/>
      <c r="B460" s="19" t="n"/>
      <c r="C460" s="19" t="n"/>
      <c r="D460" s="20">
        <f>IF(OR(B460="",C460=""),"",(C460-B460)*24)</f>
        <v/>
      </c>
      <c r="E460" s="21" t="n"/>
      <c r="F460" s="21" t="n"/>
      <c r="G460" s="21" t="n"/>
    </row>
    <row r="461">
      <c r="A461" s="18" t="n"/>
      <c r="B461" s="19" t="n"/>
      <c r="C461" s="19" t="n"/>
      <c r="D461" s="20">
        <f>IF(OR(B461="",C461=""),"",(C461-B461)*24)</f>
        <v/>
      </c>
      <c r="E461" s="21" t="n"/>
      <c r="F461" s="21" t="n"/>
      <c r="G461" s="21" t="n"/>
    </row>
    <row r="462">
      <c r="A462" s="18" t="n"/>
      <c r="B462" s="19" t="n"/>
      <c r="C462" s="19" t="n"/>
      <c r="D462" s="20">
        <f>IF(OR(B462="",C462=""),"",(C462-B462)*24)</f>
        <v/>
      </c>
      <c r="E462" s="21" t="n"/>
      <c r="F462" s="21" t="n"/>
      <c r="G462" s="21" t="n"/>
    </row>
    <row r="463">
      <c r="A463" s="18" t="n"/>
      <c r="B463" s="19" t="n"/>
      <c r="C463" s="19" t="n"/>
      <c r="D463" s="20">
        <f>IF(OR(B463="",C463=""),"",(C463-B463)*24)</f>
        <v/>
      </c>
      <c r="E463" s="21" t="n"/>
      <c r="F463" s="21" t="n"/>
      <c r="G463" s="21" t="n"/>
    </row>
    <row r="464">
      <c r="A464" s="18" t="n"/>
      <c r="B464" s="19" t="n"/>
      <c r="C464" s="19" t="n"/>
      <c r="D464" s="20">
        <f>IF(OR(B464="",C464=""),"",(C464-B464)*24)</f>
        <v/>
      </c>
      <c r="E464" s="21" t="n"/>
      <c r="F464" s="21" t="n"/>
      <c r="G464" s="21" t="n"/>
    </row>
    <row r="465">
      <c r="A465" s="18" t="n"/>
      <c r="B465" s="19" t="n"/>
      <c r="C465" s="19" t="n"/>
      <c r="D465" s="20">
        <f>IF(OR(B465="",C465=""),"",(C465-B465)*24)</f>
        <v/>
      </c>
      <c r="E465" s="21" t="n"/>
      <c r="F465" s="21" t="n"/>
      <c r="G465" s="21" t="n"/>
    </row>
    <row r="466">
      <c r="A466" s="18" t="n"/>
      <c r="B466" s="19" t="n"/>
      <c r="C466" s="19" t="n"/>
      <c r="D466" s="20">
        <f>IF(OR(B466="",C466=""),"",(C466-B466)*24)</f>
        <v/>
      </c>
      <c r="E466" s="21" t="n"/>
      <c r="F466" s="21" t="n"/>
      <c r="G466" s="21" t="n"/>
    </row>
    <row r="467">
      <c r="A467" s="18" t="n"/>
      <c r="B467" s="19" t="n"/>
      <c r="C467" s="19" t="n"/>
      <c r="D467" s="20">
        <f>IF(OR(B467="",C467=""),"",(C467-B467)*24)</f>
        <v/>
      </c>
      <c r="E467" s="21" t="n"/>
      <c r="F467" s="21" t="n"/>
      <c r="G467" s="21" t="n"/>
    </row>
    <row r="468">
      <c r="A468" s="18" t="n"/>
      <c r="B468" s="19" t="n"/>
      <c r="C468" s="19" t="n"/>
      <c r="D468" s="20">
        <f>IF(OR(B468="",C468=""),"",(C468-B468)*24)</f>
        <v/>
      </c>
      <c r="E468" s="21" t="n"/>
      <c r="F468" s="21" t="n"/>
      <c r="G468" s="21" t="n"/>
    </row>
    <row r="469">
      <c r="A469" s="18" t="n"/>
      <c r="B469" s="19" t="n"/>
      <c r="C469" s="19" t="n"/>
      <c r="D469" s="20">
        <f>IF(OR(B469="",C469=""),"",(C469-B469)*24)</f>
        <v/>
      </c>
      <c r="E469" s="21" t="n"/>
      <c r="F469" s="21" t="n"/>
      <c r="G469" s="21" t="n"/>
    </row>
    <row r="470">
      <c r="A470" s="18" t="n"/>
      <c r="B470" s="19" t="n"/>
      <c r="C470" s="19" t="n"/>
      <c r="D470" s="20">
        <f>IF(OR(B470="",C470=""),"",(C470-B470)*24)</f>
        <v/>
      </c>
      <c r="E470" s="21" t="n"/>
      <c r="F470" s="21" t="n"/>
      <c r="G470" s="21" t="n"/>
    </row>
    <row r="471">
      <c r="A471" s="18" t="n"/>
      <c r="B471" s="19" t="n"/>
      <c r="C471" s="19" t="n"/>
      <c r="D471" s="20">
        <f>IF(OR(B471="",C471=""),"",(C471-B471)*24)</f>
        <v/>
      </c>
      <c r="E471" s="21" t="n"/>
      <c r="F471" s="21" t="n"/>
      <c r="G471" s="21" t="n"/>
    </row>
    <row r="472">
      <c r="A472" s="18" t="n"/>
      <c r="B472" s="19" t="n"/>
      <c r="C472" s="19" t="n"/>
      <c r="D472" s="20">
        <f>IF(OR(B472="",C472=""),"",(C472-B472)*24)</f>
        <v/>
      </c>
      <c r="E472" s="21" t="n"/>
      <c r="F472" s="21" t="n"/>
      <c r="G472" s="21" t="n"/>
    </row>
    <row r="473">
      <c r="A473" s="18" t="n"/>
      <c r="B473" s="19" t="n"/>
      <c r="C473" s="19" t="n"/>
      <c r="D473" s="20">
        <f>IF(OR(B473="",C473=""),"",(C473-B473)*24)</f>
        <v/>
      </c>
      <c r="E473" s="21" t="n"/>
      <c r="F473" s="21" t="n"/>
      <c r="G473" s="21" t="n"/>
    </row>
    <row r="474">
      <c r="A474" s="18" t="n"/>
      <c r="B474" s="19" t="n"/>
      <c r="C474" s="19" t="n"/>
      <c r="D474" s="20">
        <f>IF(OR(B474="",C474=""),"",(C474-B474)*24)</f>
        <v/>
      </c>
      <c r="E474" s="21" t="n"/>
      <c r="F474" s="21" t="n"/>
      <c r="G474" s="21" t="n"/>
    </row>
    <row r="475">
      <c r="A475" s="18" t="n"/>
      <c r="B475" s="19" t="n"/>
      <c r="C475" s="19" t="n"/>
      <c r="D475" s="20">
        <f>IF(OR(B475="",C475=""),"",(C475-B475)*24)</f>
        <v/>
      </c>
      <c r="E475" s="21" t="n"/>
      <c r="F475" s="21" t="n"/>
      <c r="G475" s="21" t="n"/>
    </row>
    <row r="476">
      <c r="A476" s="18" t="n"/>
      <c r="B476" s="19" t="n"/>
      <c r="C476" s="19" t="n"/>
      <c r="D476" s="20">
        <f>IF(OR(B476="",C476=""),"",(C476-B476)*24)</f>
        <v/>
      </c>
      <c r="E476" s="21" t="n"/>
      <c r="F476" s="21" t="n"/>
      <c r="G476" s="21" t="n"/>
    </row>
    <row r="477">
      <c r="A477" s="18" t="n"/>
      <c r="B477" s="19" t="n"/>
      <c r="C477" s="19" t="n"/>
      <c r="D477" s="20">
        <f>IF(OR(B477="",C477=""),"",(C477-B477)*24)</f>
        <v/>
      </c>
      <c r="E477" s="21" t="n"/>
      <c r="F477" s="21" t="n"/>
      <c r="G477" s="21" t="n"/>
    </row>
    <row r="478">
      <c r="A478" s="18" t="n"/>
      <c r="B478" s="19" t="n"/>
      <c r="C478" s="19" t="n"/>
      <c r="D478" s="20">
        <f>IF(OR(B478="",C478=""),"",(C478-B478)*24)</f>
        <v/>
      </c>
      <c r="E478" s="21" t="n"/>
      <c r="F478" s="21" t="n"/>
      <c r="G478" s="21" t="n"/>
    </row>
    <row r="479">
      <c r="A479" s="18" t="n"/>
      <c r="B479" s="19" t="n"/>
      <c r="C479" s="19" t="n"/>
      <c r="D479" s="20">
        <f>IF(OR(B479="",C479=""),"",(C479-B479)*24)</f>
        <v/>
      </c>
      <c r="E479" s="21" t="n"/>
      <c r="F479" s="21" t="n"/>
      <c r="G479" s="21" t="n"/>
    </row>
    <row r="480">
      <c r="A480" s="18" t="n"/>
      <c r="B480" s="19" t="n"/>
      <c r="C480" s="19" t="n"/>
      <c r="D480" s="20">
        <f>IF(OR(B480="",C480=""),"",(C480-B480)*24)</f>
        <v/>
      </c>
      <c r="E480" s="21" t="n"/>
      <c r="F480" s="21" t="n"/>
      <c r="G480" s="21" t="n"/>
    </row>
    <row r="481">
      <c r="A481" s="18" t="n"/>
      <c r="B481" s="19" t="n"/>
      <c r="C481" s="19" t="n"/>
      <c r="D481" s="20">
        <f>IF(OR(B481="",C481=""),"",(C481-B481)*24)</f>
        <v/>
      </c>
      <c r="E481" s="21" t="n"/>
      <c r="F481" s="21" t="n"/>
      <c r="G481" s="21" t="n"/>
    </row>
    <row r="482">
      <c r="A482" s="18" t="n"/>
      <c r="B482" s="19" t="n"/>
      <c r="C482" s="19" t="n"/>
      <c r="D482" s="20">
        <f>IF(OR(B482="",C482=""),"",(C482-B482)*24)</f>
        <v/>
      </c>
      <c r="E482" s="21" t="n"/>
      <c r="F482" s="21" t="n"/>
      <c r="G482" s="21" t="n"/>
    </row>
    <row r="483">
      <c r="A483" s="18" t="n"/>
      <c r="B483" s="19" t="n"/>
      <c r="C483" s="19" t="n"/>
      <c r="D483" s="20">
        <f>IF(OR(B483="",C483=""),"",(C483-B483)*24)</f>
        <v/>
      </c>
      <c r="E483" s="21" t="n"/>
      <c r="F483" s="21" t="n"/>
      <c r="G483" s="21" t="n"/>
    </row>
    <row r="484">
      <c r="A484" s="18" t="n"/>
      <c r="B484" s="19" t="n"/>
      <c r="C484" s="19" t="n"/>
      <c r="D484" s="20">
        <f>IF(OR(B484="",C484=""),"",(C484-B484)*24)</f>
        <v/>
      </c>
      <c r="E484" s="21" t="n"/>
      <c r="F484" s="21" t="n"/>
      <c r="G484" s="21" t="n"/>
    </row>
    <row r="485">
      <c r="A485" s="18" t="n"/>
      <c r="B485" s="19" t="n"/>
      <c r="C485" s="19" t="n"/>
      <c r="D485" s="20">
        <f>IF(OR(B485="",C485=""),"",(C485-B485)*24)</f>
        <v/>
      </c>
      <c r="E485" s="21" t="n"/>
      <c r="F485" s="21" t="n"/>
      <c r="G485" s="21" t="n"/>
    </row>
    <row r="486">
      <c r="A486" s="18" t="n"/>
      <c r="B486" s="19" t="n"/>
      <c r="C486" s="19" t="n"/>
      <c r="D486" s="20">
        <f>IF(OR(B486="",C486=""),"",(C486-B486)*24)</f>
        <v/>
      </c>
      <c r="E486" s="21" t="n"/>
      <c r="F486" s="21" t="n"/>
      <c r="G486" s="21" t="n"/>
    </row>
    <row r="487">
      <c r="A487" s="18" t="n"/>
      <c r="B487" s="19" t="n"/>
      <c r="C487" s="19" t="n"/>
      <c r="D487" s="20">
        <f>IF(OR(B487="",C487=""),"",(C487-B487)*24)</f>
        <v/>
      </c>
      <c r="E487" s="21" t="n"/>
      <c r="F487" s="21" t="n"/>
      <c r="G487" s="21" t="n"/>
    </row>
    <row r="488">
      <c r="A488" s="18" t="n"/>
      <c r="B488" s="19" t="n"/>
      <c r="C488" s="19" t="n"/>
      <c r="D488" s="20">
        <f>IF(OR(B488="",C488=""),"",(C488-B488)*24)</f>
        <v/>
      </c>
      <c r="E488" s="21" t="n"/>
      <c r="F488" s="21" t="n"/>
      <c r="G488" s="21" t="n"/>
    </row>
    <row r="489">
      <c r="A489" s="18" t="n"/>
      <c r="B489" s="19" t="n"/>
      <c r="C489" s="19" t="n"/>
      <c r="D489" s="20">
        <f>IF(OR(B489="",C489=""),"",(C489-B489)*24)</f>
        <v/>
      </c>
      <c r="E489" s="21" t="n"/>
      <c r="F489" s="21" t="n"/>
      <c r="G489" s="21" t="n"/>
    </row>
    <row r="490">
      <c r="A490" s="18" t="n"/>
      <c r="B490" s="19" t="n"/>
      <c r="C490" s="19" t="n"/>
      <c r="D490" s="20">
        <f>IF(OR(B490="",C490=""),"",(C490-B490)*24)</f>
        <v/>
      </c>
      <c r="E490" s="21" t="n"/>
      <c r="F490" s="21" t="n"/>
      <c r="G490" s="21" t="n"/>
    </row>
    <row r="491">
      <c r="A491" s="18" t="n"/>
      <c r="B491" s="19" t="n"/>
      <c r="C491" s="19" t="n"/>
      <c r="D491" s="20">
        <f>IF(OR(B491="",C491=""),"",(C491-B491)*24)</f>
        <v/>
      </c>
      <c r="E491" s="21" t="n"/>
      <c r="F491" s="21" t="n"/>
      <c r="G491" s="21" t="n"/>
    </row>
    <row r="492">
      <c r="A492" s="18" t="n"/>
      <c r="B492" s="19" t="n"/>
      <c r="C492" s="19" t="n"/>
      <c r="D492" s="20">
        <f>IF(OR(B492="",C492=""),"",(C492-B492)*24)</f>
        <v/>
      </c>
      <c r="E492" s="21" t="n"/>
      <c r="F492" s="21" t="n"/>
      <c r="G492" s="21" t="n"/>
    </row>
    <row r="493">
      <c r="A493" s="18" t="n"/>
      <c r="B493" s="19" t="n"/>
      <c r="C493" s="19" t="n"/>
      <c r="D493" s="20">
        <f>IF(OR(B493="",C493=""),"",(C493-B493)*24)</f>
        <v/>
      </c>
      <c r="E493" s="21" t="n"/>
      <c r="F493" s="21" t="n"/>
      <c r="G493" s="21" t="n"/>
    </row>
    <row r="494">
      <c r="A494" s="18" t="n"/>
      <c r="B494" s="19" t="n"/>
      <c r="C494" s="19" t="n"/>
      <c r="D494" s="20">
        <f>IF(OR(B494="",C494=""),"",(C494-B494)*24)</f>
        <v/>
      </c>
      <c r="E494" s="21" t="n"/>
      <c r="F494" s="21" t="n"/>
      <c r="G494" s="21" t="n"/>
    </row>
    <row r="495">
      <c r="A495" s="18" t="n"/>
      <c r="B495" s="19" t="n"/>
      <c r="C495" s="19" t="n"/>
      <c r="D495" s="20">
        <f>IF(OR(B495="",C495=""),"",(C495-B495)*24)</f>
        <v/>
      </c>
      <c r="E495" s="21" t="n"/>
      <c r="F495" s="21" t="n"/>
      <c r="G495" s="21" t="n"/>
    </row>
    <row r="496">
      <c r="A496" s="18" t="n"/>
      <c r="B496" s="19" t="n"/>
      <c r="C496" s="19" t="n"/>
      <c r="D496" s="20">
        <f>IF(OR(B496="",C496=""),"",(C496-B496)*24)</f>
        <v/>
      </c>
      <c r="E496" s="21" t="n"/>
      <c r="F496" s="21" t="n"/>
      <c r="G496" s="21" t="n"/>
    </row>
    <row r="497">
      <c r="A497" s="18" t="n"/>
      <c r="B497" s="19" t="n"/>
      <c r="C497" s="19" t="n"/>
      <c r="D497" s="20">
        <f>IF(OR(B497="",C497=""),"",(C497-B497)*24)</f>
        <v/>
      </c>
      <c r="E497" s="21" t="n"/>
      <c r="F497" s="21" t="n"/>
      <c r="G497" s="21" t="n"/>
    </row>
    <row r="498">
      <c r="A498" s="18" t="n"/>
      <c r="B498" s="19" t="n"/>
      <c r="C498" s="19" t="n"/>
      <c r="D498" s="20">
        <f>IF(OR(B498="",C498=""),"",(C498-B498)*24)</f>
        <v/>
      </c>
      <c r="E498" s="21" t="n"/>
      <c r="F498" s="21" t="n"/>
      <c r="G498" s="21" t="n"/>
    </row>
    <row r="499">
      <c r="A499" s="18" t="n"/>
      <c r="B499" s="19" t="n"/>
      <c r="C499" s="19" t="n"/>
      <c r="D499" s="20">
        <f>IF(OR(B499="",C499=""),"",(C499-B499)*24)</f>
        <v/>
      </c>
      <c r="E499" s="21" t="n"/>
      <c r="F499" s="21" t="n"/>
      <c r="G499" s="21" t="n"/>
    </row>
    <row r="500">
      <c r="A500" s="18" t="n"/>
      <c r="B500" s="19" t="n"/>
      <c r="C500" s="19" t="n"/>
      <c r="D500" s="20">
        <f>IF(OR(B500="",C500=""),"",(C500-B500)*24)</f>
        <v/>
      </c>
      <c r="E500" s="21" t="n"/>
      <c r="F500" s="21" t="n"/>
      <c r="G500" s="21" t="n"/>
    </row>
    <row r="501">
      <c r="A501" s="18" t="n"/>
      <c r="B501" s="19" t="n"/>
      <c r="C501" s="19" t="n"/>
      <c r="D501" s="20">
        <f>IF(OR(B501="",C501=""),"",(C501-B501)*24)</f>
        <v/>
      </c>
      <c r="E501" s="21" t="n"/>
      <c r="F501" s="21" t="n"/>
      <c r="G501" s="21" t="n"/>
    </row>
    <row r="502">
      <c r="A502" s="18" t="n"/>
      <c r="B502" s="19" t="n"/>
      <c r="C502" s="19" t="n"/>
      <c r="D502" s="20">
        <f>IF(OR(B502="",C502=""),"",(C502-B502)*24)</f>
        <v/>
      </c>
      <c r="E502" s="21" t="n"/>
      <c r="F502" s="21" t="n"/>
      <c r="G502" s="21" t="n"/>
    </row>
    <row r="503">
      <c r="A503" s="18" t="n"/>
      <c r="B503" s="19" t="n"/>
      <c r="C503" s="19" t="n"/>
      <c r="D503" s="20">
        <f>IF(OR(B503="",C503=""),"",(C503-B503)*24)</f>
        <v/>
      </c>
      <c r="E503" s="21" t="n"/>
      <c r="F503" s="21" t="n"/>
      <c r="G503" s="21" t="n"/>
    </row>
    <row r="504">
      <c r="A504" s="18" t="n"/>
      <c r="B504" s="19" t="n"/>
      <c r="C504" s="19" t="n"/>
      <c r="D504" s="20">
        <f>IF(OR(B504="",C504=""),"",(C504-B504)*24)</f>
        <v/>
      </c>
      <c r="E504" s="21" t="n"/>
      <c r="F504" s="21" t="n"/>
      <c r="G504" s="21" t="n"/>
    </row>
    <row r="505">
      <c r="A505" s="18" t="n"/>
      <c r="B505" s="19" t="n"/>
      <c r="C505" s="19" t="n"/>
      <c r="D505" s="20">
        <f>IF(OR(B505="",C505=""),"",(C505-B505)*24)</f>
        <v/>
      </c>
      <c r="E505" s="21" t="n"/>
      <c r="F505" s="21" t="n"/>
      <c r="G505" s="21" t="n"/>
    </row>
    <row r="506">
      <c r="A506" s="21" t="n"/>
      <c r="B506" s="21" t="n"/>
      <c r="C506" s="22" t="inlineStr">
        <is>
          <t>合計</t>
        </is>
      </c>
      <c r="D506" s="23">
        <f>SUM(D6:D505)</f>
        <v/>
      </c>
      <c r="E506" s="21" t="n"/>
      <c r="F506" s="21" t="n"/>
      <c r="G506" s="21" t="n"/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34" customWidth="1" min="5" max="5"/>
    <col width="12" customWidth="1" min="6" max="6"/>
    <col width="10" customWidth="1" min="7" max="7"/>
    <col width="12" customWidth="1" min="8" max="8"/>
    <col width="8" customWidth="1" min="9" max="9"/>
    <col width="10" customWidth="1" min="10" max="10"/>
  </cols>
  <sheetData>
    <row r="1" ht="28" customHeight="1">
      <c r="A1" s="1" t="inlineStr">
        <is>
          <t>待辦事項</t>
        </is>
      </c>
    </row>
    <row r="2">
      <c r="A2" s="5" t="inlineStr">
        <is>
          <t>未完成數</t>
        </is>
      </c>
      <c r="B2" s="16">
        <f>COUNTIFS($B$6:$B$505,"&lt;&gt;完成",$E$6:$E$505,"&lt;&gt;")</f>
        <v/>
      </c>
    </row>
    <row r="3">
      <c r="A3" s="5" t="inlineStr">
        <is>
          <t>逾期數</t>
        </is>
      </c>
      <c r="B3" s="16">
        <f>COUNTIFS($B$6:$B$505,"&lt;&gt;完成",$D$6:$D$505,"&lt;"&amp;TODAY())</f>
        <v/>
      </c>
    </row>
    <row r="4">
      <c r="A4" s="5" t="inlineStr">
        <is>
          <t>7天內到期</t>
        </is>
      </c>
      <c r="B4" s="16">
        <f>COUNTIFS($B$6:$B$505,"&lt;&gt;完成",$D$6:$D$505,"&gt;="&amp;TODAY(),$D$6:$D$505,"&lt;="&amp;TODAY()+7)</f>
        <v/>
      </c>
    </row>
    <row r="5" ht="22" customHeight="1">
      <c r="A5" s="8" t="inlineStr">
        <is>
          <t>優先度</t>
        </is>
      </c>
      <c r="B5" s="8" t="inlineStr">
        <is>
          <t>狀態</t>
        </is>
      </c>
      <c r="C5" s="8" t="inlineStr">
        <is>
          <t>分類</t>
        </is>
      </c>
      <c r="D5" s="8" t="inlineStr">
        <is>
          <t>到期日</t>
        </is>
      </c>
      <c r="E5" s="8" t="inlineStr">
        <is>
          <t>事項</t>
        </is>
      </c>
      <c r="F5" s="8" t="inlineStr">
        <is>
          <t>負責人</t>
        </is>
      </c>
      <c r="G5" s="8" t="inlineStr">
        <is>
          <t>預估工時</t>
        </is>
      </c>
      <c r="H5" s="8" t="inlineStr">
        <is>
          <t>完成日</t>
        </is>
      </c>
      <c r="I5" s="8" t="inlineStr">
        <is>
          <t>逾期?</t>
        </is>
      </c>
      <c r="J5" s="8" t="inlineStr">
        <is>
          <t>剩餘天數</t>
        </is>
      </c>
    </row>
    <row r="6">
      <c r="A6" s="21" t="n"/>
      <c r="B6" s="21" t="n"/>
      <c r="C6" s="21" t="n"/>
      <c r="D6" s="18" t="n"/>
      <c r="E6" s="21" t="n"/>
      <c r="F6" s="21" t="n"/>
      <c r="G6" s="24" t="n"/>
      <c r="H6" s="18" t="n"/>
      <c r="I6" s="21">
        <f>IF(OR(B6="完成",D6=""),"",IF(TODAY()&gt;D6,"逾期",""))</f>
        <v/>
      </c>
      <c r="J6" s="25">
        <f>IF(D6="","",D6-TODAY())</f>
        <v/>
      </c>
    </row>
    <row r="7">
      <c r="A7" s="21" t="n"/>
      <c r="B7" s="21" t="n"/>
      <c r="C7" s="21" t="n"/>
      <c r="D7" s="18" t="n"/>
      <c r="E7" s="21" t="n"/>
      <c r="F7" s="21" t="n"/>
      <c r="G7" s="24" t="n"/>
      <c r="H7" s="18" t="n"/>
      <c r="I7" s="21">
        <f>IF(OR(B7="完成",D7=""),"",IF(TODAY()&gt;D7,"逾期",""))</f>
        <v/>
      </c>
      <c r="J7" s="25">
        <f>IF(D7="","",D7-TODAY())</f>
        <v/>
      </c>
    </row>
    <row r="8">
      <c r="A8" s="21" t="n"/>
      <c r="B8" s="21" t="n"/>
      <c r="C8" s="21" t="n"/>
      <c r="D8" s="18" t="n"/>
      <c r="E8" s="21" t="n"/>
      <c r="F8" s="21" t="n"/>
      <c r="G8" s="24" t="n"/>
      <c r="H8" s="18" t="n"/>
      <c r="I8" s="21">
        <f>IF(OR(B8="完成",D8=""),"",IF(TODAY()&gt;D8,"逾期",""))</f>
        <v/>
      </c>
      <c r="J8" s="25">
        <f>IF(D8="","",D8-TODAY())</f>
        <v/>
      </c>
    </row>
    <row r="9">
      <c r="A9" s="21" t="n"/>
      <c r="B9" s="21" t="n"/>
      <c r="C9" s="21" t="n"/>
      <c r="D9" s="18" t="n"/>
      <c r="E9" s="21" t="n"/>
      <c r="F9" s="21" t="n"/>
      <c r="G9" s="24" t="n"/>
      <c r="H9" s="18" t="n"/>
      <c r="I9" s="21">
        <f>IF(OR(B9="完成",D9=""),"",IF(TODAY()&gt;D9,"逾期",""))</f>
        <v/>
      </c>
      <c r="J9" s="25">
        <f>IF(D9="","",D9-TODAY())</f>
        <v/>
      </c>
    </row>
    <row r="10">
      <c r="A10" s="21" t="n"/>
      <c r="B10" s="21" t="n"/>
      <c r="C10" s="21" t="n"/>
      <c r="D10" s="18" t="n"/>
      <c r="E10" s="21" t="n"/>
      <c r="F10" s="21" t="n"/>
      <c r="G10" s="24" t="n"/>
      <c r="H10" s="18" t="n"/>
      <c r="I10" s="21">
        <f>IF(OR(B10="完成",D10=""),"",IF(TODAY()&gt;D10,"逾期",""))</f>
        <v/>
      </c>
      <c r="J10" s="25">
        <f>IF(D10="","",D10-TODAY())</f>
        <v/>
      </c>
    </row>
    <row r="11">
      <c r="A11" s="21" t="n"/>
      <c r="B11" s="21" t="n"/>
      <c r="C11" s="21" t="n"/>
      <c r="D11" s="18" t="n"/>
      <c r="E11" s="21" t="n"/>
      <c r="F11" s="21" t="n"/>
      <c r="G11" s="24" t="n"/>
      <c r="H11" s="18" t="n"/>
      <c r="I11" s="21">
        <f>IF(OR(B11="完成",D11=""),"",IF(TODAY()&gt;D11,"逾期",""))</f>
        <v/>
      </c>
      <c r="J11" s="25">
        <f>IF(D11="","",D11-TODAY())</f>
        <v/>
      </c>
    </row>
    <row r="12">
      <c r="A12" s="21" t="n"/>
      <c r="B12" s="21" t="n"/>
      <c r="C12" s="21" t="n"/>
      <c r="D12" s="18" t="n"/>
      <c r="E12" s="21" t="n"/>
      <c r="F12" s="21" t="n"/>
      <c r="G12" s="24" t="n"/>
      <c r="H12" s="18" t="n"/>
      <c r="I12" s="21">
        <f>IF(OR(B12="完成",D12=""),"",IF(TODAY()&gt;D12,"逾期",""))</f>
        <v/>
      </c>
      <c r="J12" s="25">
        <f>IF(D12="","",D12-TODAY())</f>
        <v/>
      </c>
    </row>
    <row r="13">
      <c r="A13" s="21" t="n"/>
      <c r="B13" s="21" t="n"/>
      <c r="C13" s="21" t="n"/>
      <c r="D13" s="18" t="n"/>
      <c r="E13" s="21" t="n"/>
      <c r="F13" s="21" t="n"/>
      <c r="G13" s="24" t="n"/>
      <c r="H13" s="18" t="n"/>
      <c r="I13" s="21">
        <f>IF(OR(B13="完成",D13=""),"",IF(TODAY()&gt;D13,"逾期",""))</f>
        <v/>
      </c>
      <c r="J13" s="25">
        <f>IF(D13="","",D13-TODAY())</f>
        <v/>
      </c>
    </row>
    <row r="14">
      <c r="A14" s="21" t="n"/>
      <c r="B14" s="21" t="n"/>
      <c r="C14" s="21" t="n"/>
      <c r="D14" s="18" t="n"/>
      <c r="E14" s="21" t="n"/>
      <c r="F14" s="21" t="n"/>
      <c r="G14" s="24" t="n"/>
      <c r="H14" s="18" t="n"/>
      <c r="I14" s="21">
        <f>IF(OR(B14="完成",D14=""),"",IF(TODAY()&gt;D14,"逾期",""))</f>
        <v/>
      </c>
      <c r="J14" s="25">
        <f>IF(D14="","",D14-TODAY())</f>
        <v/>
      </c>
    </row>
    <row r="15">
      <c r="A15" s="21" t="n"/>
      <c r="B15" s="21" t="n"/>
      <c r="C15" s="21" t="n"/>
      <c r="D15" s="18" t="n"/>
      <c r="E15" s="21" t="n"/>
      <c r="F15" s="21" t="n"/>
      <c r="G15" s="24" t="n"/>
      <c r="H15" s="18" t="n"/>
      <c r="I15" s="21">
        <f>IF(OR(B15="完成",D15=""),"",IF(TODAY()&gt;D15,"逾期",""))</f>
        <v/>
      </c>
      <c r="J15" s="25">
        <f>IF(D15="","",D15-TODAY())</f>
        <v/>
      </c>
    </row>
    <row r="16">
      <c r="A16" s="21" t="n"/>
      <c r="B16" s="21" t="n"/>
      <c r="C16" s="21" t="n"/>
      <c r="D16" s="18" t="n"/>
      <c r="E16" s="21" t="n"/>
      <c r="F16" s="21" t="n"/>
      <c r="G16" s="24" t="n"/>
      <c r="H16" s="18" t="n"/>
      <c r="I16" s="21">
        <f>IF(OR(B16="完成",D16=""),"",IF(TODAY()&gt;D16,"逾期",""))</f>
        <v/>
      </c>
      <c r="J16" s="25">
        <f>IF(D16="","",D16-TODAY())</f>
        <v/>
      </c>
    </row>
    <row r="17">
      <c r="A17" s="21" t="n"/>
      <c r="B17" s="21" t="n"/>
      <c r="C17" s="21" t="n"/>
      <c r="D17" s="18" t="n"/>
      <c r="E17" s="21" t="n"/>
      <c r="F17" s="21" t="n"/>
      <c r="G17" s="24" t="n"/>
      <c r="H17" s="18" t="n"/>
      <c r="I17" s="21">
        <f>IF(OR(B17="完成",D17=""),"",IF(TODAY()&gt;D17,"逾期",""))</f>
        <v/>
      </c>
      <c r="J17" s="25">
        <f>IF(D17="","",D17-TODAY())</f>
        <v/>
      </c>
    </row>
    <row r="18">
      <c r="A18" s="21" t="n"/>
      <c r="B18" s="21" t="n"/>
      <c r="C18" s="21" t="n"/>
      <c r="D18" s="18" t="n"/>
      <c r="E18" s="21" t="n"/>
      <c r="F18" s="21" t="n"/>
      <c r="G18" s="24" t="n"/>
      <c r="H18" s="18" t="n"/>
      <c r="I18" s="21">
        <f>IF(OR(B18="完成",D18=""),"",IF(TODAY()&gt;D18,"逾期",""))</f>
        <v/>
      </c>
      <c r="J18" s="25">
        <f>IF(D18="","",D18-TODAY())</f>
        <v/>
      </c>
    </row>
    <row r="19">
      <c r="A19" s="21" t="n"/>
      <c r="B19" s="21" t="n"/>
      <c r="C19" s="21" t="n"/>
      <c r="D19" s="18" t="n"/>
      <c r="E19" s="21" t="n"/>
      <c r="F19" s="21" t="n"/>
      <c r="G19" s="24" t="n"/>
      <c r="H19" s="18" t="n"/>
      <c r="I19" s="21">
        <f>IF(OR(B19="完成",D19=""),"",IF(TODAY()&gt;D19,"逾期",""))</f>
        <v/>
      </c>
      <c r="J19" s="25">
        <f>IF(D19="","",D19-TODAY())</f>
        <v/>
      </c>
    </row>
    <row r="20">
      <c r="A20" s="21" t="n"/>
      <c r="B20" s="21" t="n"/>
      <c r="C20" s="21" t="n"/>
      <c r="D20" s="18" t="n"/>
      <c r="E20" s="21" t="n"/>
      <c r="F20" s="21" t="n"/>
      <c r="G20" s="24" t="n"/>
      <c r="H20" s="18" t="n"/>
      <c r="I20" s="21">
        <f>IF(OR(B20="完成",D20=""),"",IF(TODAY()&gt;D20,"逾期",""))</f>
        <v/>
      </c>
      <c r="J20" s="25">
        <f>IF(D20="","",D20-TODAY())</f>
        <v/>
      </c>
    </row>
    <row r="21">
      <c r="A21" s="21" t="n"/>
      <c r="B21" s="21" t="n"/>
      <c r="C21" s="21" t="n"/>
      <c r="D21" s="18" t="n"/>
      <c r="E21" s="21" t="n"/>
      <c r="F21" s="21" t="n"/>
      <c r="G21" s="24" t="n"/>
      <c r="H21" s="18" t="n"/>
      <c r="I21" s="21">
        <f>IF(OR(B21="完成",D21=""),"",IF(TODAY()&gt;D21,"逾期",""))</f>
        <v/>
      </c>
      <c r="J21" s="25">
        <f>IF(D21="","",D21-TODAY())</f>
        <v/>
      </c>
    </row>
    <row r="22">
      <c r="A22" s="21" t="n"/>
      <c r="B22" s="21" t="n"/>
      <c r="C22" s="21" t="n"/>
      <c r="D22" s="18" t="n"/>
      <c r="E22" s="21" t="n"/>
      <c r="F22" s="21" t="n"/>
      <c r="G22" s="24" t="n"/>
      <c r="H22" s="18" t="n"/>
      <c r="I22" s="21">
        <f>IF(OR(B22="完成",D22=""),"",IF(TODAY()&gt;D22,"逾期",""))</f>
        <v/>
      </c>
      <c r="J22" s="25">
        <f>IF(D22="","",D22-TODAY())</f>
        <v/>
      </c>
    </row>
    <row r="23">
      <c r="A23" s="21" t="n"/>
      <c r="B23" s="21" t="n"/>
      <c r="C23" s="21" t="n"/>
      <c r="D23" s="18" t="n"/>
      <c r="E23" s="21" t="n"/>
      <c r="F23" s="21" t="n"/>
      <c r="G23" s="24" t="n"/>
      <c r="H23" s="18" t="n"/>
      <c r="I23" s="21">
        <f>IF(OR(B23="完成",D23=""),"",IF(TODAY()&gt;D23,"逾期",""))</f>
        <v/>
      </c>
      <c r="J23" s="25">
        <f>IF(D23="","",D23-TODAY())</f>
        <v/>
      </c>
    </row>
    <row r="24">
      <c r="A24" s="21" t="n"/>
      <c r="B24" s="21" t="n"/>
      <c r="C24" s="21" t="n"/>
      <c r="D24" s="18" t="n"/>
      <c r="E24" s="21" t="n"/>
      <c r="F24" s="21" t="n"/>
      <c r="G24" s="24" t="n"/>
      <c r="H24" s="18" t="n"/>
      <c r="I24" s="21">
        <f>IF(OR(B24="完成",D24=""),"",IF(TODAY()&gt;D24,"逾期",""))</f>
        <v/>
      </c>
      <c r="J24" s="25">
        <f>IF(D24="","",D24-TODAY())</f>
        <v/>
      </c>
    </row>
    <row r="25">
      <c r="A25" s="21" t="n"/>
      <c r="B25" s="21" t="n"/>
      <c r="C25" s="21" t="n"/>
      <c r="D25" s="18" t="n"/>
      <c r="E25" s="21" t="n"/>
      <c r="F25" s="21" t="n"/>
      <c r="G25" s="24" t="n"/>
      <c r="H25" s="18" t="n"/>
      <c r="I25" s="21">
        <f>IF(OR(B25="完成",D25=""),"",IF(TODAY()&gt;D25,"逾期",""))</f>
        <v/>
      </c>
      <c r="J25" s="25">
        <f>IF(D25="","",D25-TODAY())</f>
        <v/>
      </c>
    </row>
    <row r="26">
      <c r="A26" s="21" t="n"/>
      <c r="B26" s="21" t="n"/>
      <c r="C26" s="21" t="n"/>
      <c r="D26" s="18" t="n"/>
      <c r="E26" s="21" t="n"/>
      <c r="F26" s="21" t="n"/>
      <c r="G26" s="24" t="n"/>
      <c r="H26" s="18" t="n"/>
      <c r="I26" s="21">
        <f>IF(OR(B26="完成",D26=""),"",IF(TODAY()&gt;D26,"逾期",""))</f>
        <v/>
      </c>
      <c r="J26" s="25">
        <f>IF(D26="","",D26-TODAY())</f>
        <v/>
      </c>
    </row>
    <row r="27">
      <c r="A27" s="21" t="n"/>
      <c r="B27" s="21" t="n"/>
      <c r="C27" s="21" t="n"/>
      <c r="D27" s="18" t="n"/>
      <c r="E27" s="21" t="n"/>
      <c r="F27" s="21" t="n"/>
      <c r="G27" s="24" t="n"/>
      <c r="H27" s="18" t="n"/>
      <c r="I27" s="21">
        <f>IF(OR(B27="完成",D27=""),"",IF(TODAY()&gt;D27,"逾期",""))</f>
        <v/>
      </c>
      <c r="J27" s="25">
        <f>IF(D27="","",D27-TODAY())</f>
        <v/>
      </c>
    </row>
    <row r="28">
      <c r="A28" s="21" t="n"/>
      <c r="B28" s="21" t="n"/>
      <c r="C28" s="21" t="n"/>
      <c r="D28" s="18" t="n"/>
      <c r="E28" s="21" t="n"/>
      <c r="F28" s="21" t="n"/>
      <c r="G28" s="24" t="n"/>
      <c r="H28" s="18" t="n"/>
      <c r="I28" s="21">
        <f>IF(OR(B28="完成",D28=""),"",IF(TODAY()&gt;D28,"逾期",""))</f>
        <v/>
      </c>
      <c r="J28" s="25">
        <f>IF(D28="","",D28-TODAY())</f>
        <v/>
      </c>
    </row>
    <row r="29">
      <c r="A29" s="21" t="n"/>
      <c r="B29" s="21" t="n"/>
      <c r="C29" s="21" t="n"/>
      <c r="D29" s="18" t="n"/>
      <c r="E29" s="21" t="n"/>
      <c r="F29" s="21" t="n"/>
      <c r="G29" s="24" t="n"/>
      <c r="H29" s="18" t="n"/>
      <c r="I29" s="21">
        <f>IF(OR(B29="完成",D29=""),"",IF(TODAY()&gt;D29,"逾期",""))</f>
        <v/>
      </c>
      <c r="J29" s="25">
        <f>IF(D29="","",D29-TODAY())</f>
        <v/>
      </c>
    </row>
    <row r="30">
      <c r="A30" s="21" t="n"/>
      <c r="B30" s="21" t="n"/>
      <c r="C30" s="21" t="n"/>
      <c r="D30" s="18" t="n"/>
      <c r="E30" s="21" t="n"/>
      <c r="F30" s="21" t="n"/>
      <c r="G30" s="24" t="n"/>
      <c r="H30" s="18" t="n"/>
      <c r="I30" s="21">
        <f>IF(OR(B30="完成",D30=""),"",IF(TODAY()&gt;D30,"逾期",""))</f>
        <v/>
      </c>
      <c r="J30" s="25">
        <f>IF(D30="","",D30-TODAY())</f>
        <v/>
      </c>
    </row>
    <row r="31">
      <c r="A31" s="21" t="n"/>
      <c r="B31" s="21" t="n"/>
      <c r="C31" s="21" t="n"/>
      <c r="D31" s="18" t="n"/>
      <c r="E31" s="21" t="n"/>
      <c r="F31" s="21" t="n"/>
      <c r="G31" s="24" t="n"/>
      <c r="H31" s="18" t="n"/>
      <c r="I31" s="21">
        <f>IF(OR(B31="完成",D31=""),"",IF(TODAY()&gt;D31,"逾期",""))</f>
        <v/>
      </c>
      <c r="J31" s="25">
        <f>IF(D31="","",D31-TODAY())</f>
        <v/>
      </c>
    </row>
    <row r="32">
      <c r="A32" s="21" t="n"/>
      <c r="B32" s="21" t="n"/>
      <c r="C32" s="21" t="n"/>
      <c r="D32" s="18" t="n"/>
      <c r="E32" s="21" t="n"/>
      <c r="F32" s="21" t="n"/>
      <c r="G32" s="24" t="n"/>
      <c r="H32" s="18" t="n"/>
      <c r="I32" s="21">
        <f>IF(OR(B32="完成",D32=""),"",IF(TODAY()&gt;D32,"逾期",""))</f>
        <v/>
      </c>
      <c r="J32" s="25">
        <f>IF(D32="","",D32-TODAY())</f>
        <v/>
      </c>
    </row>
    <row r="33">
      <c r="A33" s="21" t="n"/>
      <c r="B33" s="21" t="n"/>
      <c r="C33" s="21" t="n"/>
      <c r="D33" s="18" t="n"/>
      <c r="E33" s="21" t="n"/>
      <c r="F33" s="21" t="n"/>
      <c r="G33" s="24" t="n"/>
      <c r="H33" s="18" t="n"/>
      <c r="I33" s="21">
        <f>IF(OR(B33="完成",D33=""),"",IF(TODAY()&gt;D33,"逾期",""))</f>
        <v/>
      </c>
      <c r="J33" s="25">
        <f>IF(D33="","",D33-TODAY())</f>
        <v/>
      </c>
    </row>
    <row r="34">
      <c r="A34" s="21" t="n"/>
      <c r="B34" s="21" t="n"/>
      <c r="C34" s="21" t="n"/>
      <c r="D34" s="18" t="n"/>
      <c r="E34" s="21" t="n"/>
      <c r="F34" s="21" t="n"/>
      <c r="G34" s="24" t="n"/>
      <c r="H34" s="18" t="n"/>
      <c r="I34" s="21">
        <f>IF(OR(B34="完成",D34=""),"",IF(TODAY()&gt;D34,"逾期",""))</f>
        <v/>
      </c>
      <c r="J34" s="25">
        <f>IF(D34="","",D34-TODAY())</f>
        <v/>
      </c>
    </row>
    <row r="35">
      <c r="A35" s="21" t="n"/>
      <c r="B35" s="21" t="n"/>
      <c r="C35" s="21" t="n"/>
      <c r="D35" s="18" t="n"/>
      <c r="E35" s="21" t="n"/>
      <c r="F35" s="21" t="n"/>
      <c r="G35" s="24" t="n"/>
      <c r="H35" s="18" t="n"/>
      <c r="I35" s="21">
        <f>IF(OR(B35="完成",D35=""),"",IF(TODAY()&gt;D35,"逾期",""))</f>
        <v/>
      </c>
      <c r="J35" s="25">
        <f>IF(D35="","",D35-TODAY())</f>
        <v/>
      </c>
    </row>
    <row r="36">
      <c r="A36" s="21" t="n"/>
      <c r="B36" s="21" t="n"/>
      <c r="C36" s="21" t="n"/>
      <c r="D36" s="18" t="n"/>
      <c r="E36" s="21" t="n"/>
      <c r="F36" s="21" t="n"/>
      <c r="G36" s="24" t="n"/>
      <c r="H36" s="18" t="n"/>
      <c r="I36" s="21">
        <f>IF(OR(B36="完成",D36=""),"",IF(TODAY()&gt;D36,"逾期",""))</f>
        <v/>
      </c>
      <c r="J36" s="25">
        <f>IF(D36="","",D36-TODAY())</f>
        <v/>
      </c>
    </row>
    <row r="37">
      <c r="A37" s="21" t="n"/>
      <c r="B37" s="21" t="n"/>
      <c r="C37" s="21" t="n"/>
      <c r="D37" s="18" t="n"/>
      <c r="E37" s="21" t="n"/>
      <c r="F37" s="21" t="n"/>
      <c r="G37" s="24" t="n"/>
      <c r="H37" s="18" t="n"/>
      <c r="I37" s="21">
        <f>IF(OR(B37="完成",D37=""),"",IF(TODAY()&gt;D37,"逾期",""))</f>
        <v/>
      </c>
      <c r="J37" s="25">
        <f>IF(D37="","",D37-TODAY())</f>
        <v/>
      </c>
    </row>
    <row r="38">
      <c r="A38" s="21" t="n"/>
      <c r="B38" s="21" t="n"/>
      <c r="C38" s="21" t="n"/>
      <c r="D38" s="18" t="n"/>
      <c r="E38" s="21" t="n"/>
      <c r="F38" s="21" t="n"/>
      <c r="G38" s="24" t="n"/>
      <c r="H38" s="18" t="n"/>
      <c r="I38" s="21">
        <f>IF(OR(B38="完成",D38=""),"",IF(TODAY()&gt;D38,"逾期",""))</f>
        <v/>
      </c>
      <c r="J38" s="25">
        <f>IF(D38="","",D38-TODAY())</f>
        <v/>
      </c>
    </row>
    <row r="39">
      <c r="A39" s="21" t="n"/>
      <c r="B39" s="21" t="n"/>
      <c r="C39" s="21" t="n"/>
      <c r="D39" s="18" t="n"/>
      <c r="E39" s="21" t="n"/>
      <c r="F39" s="21" t="n"/>
      <c r="G39" s="24" t="n"/>
      <c r="H39" s="18" t="n"/>
      <c r="I39" s="21">
        <f>IF(OR(B39="完成",D39=""),"",IF(TODAY()&gt;D39,"逾期",""))</f>
        <v/>
      </c>
      <c r="J39" s="25">
        <f>IF(D39="","",D39-TODAY())</f>
        <v/>
      </c>
    </row>
    <row r="40">
      <c r="A40" s="21" t="n"/>
      <c r="B40" s="21" t="n"/>
      <c r="C40" s="21" t="n"/>
      <c r="D40" s="18" t="n"/>
      <c r="E40" s="21" t="n"/>
      <c r="F40" s="21" t="n"/>
      <c r="G40" s="24" t="n"/>
      <c r="H40" s="18" t="n"/>
      <c r="I40" s="21">
        <f>IF(OR(B40="完成",D40=""),"",IF(TODAY()&gt;D40,"逾期",""))</f>
        <v/>
      </c>
      <c r="J40" s="25">
        <f>IF(D40="","",D40-TODAY())</f>
        <v/>
      </c>
    </row>
    <row r="41">
      <c r="A41" s="21" t="n"/>
      <c r="B41" s="21" t="n"/>
      <c r="C41" s="21" t="n"/>
      <c r="D41" s="18" t="n"/>
      <c r="E41" s="21" t="n"/>
      <c r="F41" s="21" t="n"/>
      <c r="G41" s="24" t="n"/>
      <c r="H41" s="18" t="n"/>
      <c r="I41" s="21">
        <f>IF(OR(B41="完成",D41=""),"",IF(TODAY()&gt;D41,"逾期",""))</f>
        <v/>
      </c>
      <c r="J41" s="25">
        <f>IF(D41="","",D41-TODAY())</f>
        <v/>
      </c>
    </row>
    <row r="42">
      <c r="A42" s="21" t="n"/>
      <c r="B42" s="21" t="n"/>
      <c r="C42" s="21" t="n"/>
      <c r="D42" s="18" t="n"/>
      <c r="E42" s="21" t="n"/>
      <c r="F42" s="21" t="n"/>
      <c r="G42" s="24" t="n"/>
      <c r="H42" s="18" t="n"/>
      <c r="I42" s="21">
        <f>IF(OR(B42="完成",D42=""),"",IF(TODAY()&gt;D42,"逾期",""))</f>
        <v/>
      </c>
      <c r="J42" s="25">
        <f>IF(D42="","",D42-TODAY())</f>
        <v/>
      </c>
    </row>
    <row r="43">
      <c r="A43" s="21" t="n"/>
      <c r="B43" s="21" t="n"/>
      <c r="C43" s="21" t="n"/>
      <c r="D43" s="18" t="n"/>
      <c r="E43" s="21" t="n"/>
      <c r="F43" s="21" t="n"/>
      <c r="G43" s="24" t="n"/>
      <c r="H43" s="18" t="n"/>
      <c r="I43" s="21">
        <f>IF(OR(B43="完成",D43=""),"",IF(TODAY()&gt;D43,"逾期",""))</f>
        <v/>
      </c>
      <c r="J43" s="25">
        <f>IF(D43="","",D43-TODAY())</f>
        <v/>
      </c>
    </row>
    <row r="44">
      <c r="A44" s="21" t="n"/>
      <c r="B44" s="21" t="n"/>
      <c r="C44" s="21" t="n"/>
      <c r="D44" s="18" t="n"/>
      <c r="E44" s="21" t="n"/>
      <c r="F44" s="21" t="n"/>
      <c r="G44" s="24" t="n"/>
      <c r="H44" s="18" t="n"/>
      <c r="I44" s="21">
        <f>IF(OR(B44="完成",D44=""),"",IF(TODAY()&gt;D44,"逾期",""))</f>
        <v/>
      </c>
      <c r="J44" s="25">
        <f>IF(D44="","",D44-TODAY())</f>
        <v/>
      </c>
    </row>
    <row r="45">
      <c r="A45" s="21" t="n"/>
      <c r="B45" s="21" t="n"/>
      <c r="C45" s="21" t="n"/>
      <c r="D45" s="18" t="n"/>
      <c r="E45" s="21" t="n"/>
      <c r="F45" s="21" t="n"/>
      <c r="G45" s="24" t="n"/>
      <c r="H45" s="18" t="n"/>
      <c r="I45" s="21">
        <f>IF(OR(B45="完成",D45=""),"",IF(TODAY()&gt;D45,"逾期",""))</f>
        <v/>
      </c>
      <c r="J45" s="25">
        <f>IF(D45="","",D45-TODAY())</f>
        <v/>
      </c>
    </row>
    <row r="46">
      <c r="A46" s="21" t="n"/>
      <c r="B46" s="21" t="n"/>
      <c r="C46" s="21" t="n"/>
      <c r="D46" s="18" t="n"/>
      <c r="E46" s="21" t="n"/>
      <c r="F46" s="21" t="n"/>
      <c r="G46" s="24" t="n"/>
      <c r="H46" s="18" t="n"/>
      <c r="I46" s="21">
        <f>IF(OR(B46="完成",D46=""),"",IF(TODAY()&gt;D46,"逾期",""))</f>
        <v/>
      </c>
      <c r="J46" s="25">
        <f>IF(D46="","",D46-TODAY())</f>
        <v/>
      </c>
    </row>
    <row r="47">
      <c r="A47" s="21" t="n"/>
      <c r="B47" s="21" t="n"/>
      <c r="C47" s="21" t="n"/>
      <c r="D47" s="18" t="n"/>
      <c r="E47" s="21" t="n"/>
      <c r="F47" s="21" t="n"/>
      <c r="G47" s="24" t="n"/>
      <c r="H47" s="18" t="n"/>
      <c r="I47" s="21">
        <f>IF(OR(B47="完成",D47=""),"",IF(TODAY()&gt;D47,"逾期",""))</f>
        <v/>
      </c>
      <c r="J47" s="25">
        <f>IF(D47="","",D47-TODAY())</f>
        <v/>
      </c>
    </row>
    <row r="48">
      <c r="A48" s="21" t="n"/>
      <c r="B48" s="21" t="n"/>
      <c r="C48" s="21" t="n"/>
      <c r="D48" s="18" t="n"/>
      <c r="E48" s="21" t="n"/>
      <c r="F48" s="21" t="n"/>
      <c r="G48" s="24" t="n"/>
      <c r="H48" s="18" t="n"/>
      <c r="I48" s="21">
        <f>IF(OR(B48="完成",D48=""),"",IF(TODAY()&gt;D48,"逾期",""))</f>
        <v/>
      </c>
      <c r="J48" s="25">
        <f>IF(D48="","",D48-TODAY())</f>
        <v/>
      </c>
    </row>
    <row r="49">
      <c r="A49" s="21" t="n"/>
      <c r="B49" s="21" t="n"/>
      <c r="C49" s="21" t="n"/>
      <c r="D49" s="18" t="n"/>
      <c r="E49" s="21" t="n"/>
      <c r="F49" s="21" t="n"/>
      <c r="G49" s="24" t="n"/>
      <c r="H49" s="18" t="n"/>
      <c r="I49" s="21">
        <f>IF(OR(B49="完成",D49=""),"",IF(TODAY()&gt;D49,"逾期",""))</f>
        <v/>
      </c>
      <c r="J49" s="25">
        <f>IF(D49="","",D49-TODAY())</f>
        <v/>
      </c>
    </row>
    <row r="50">
      <c r="A50" s="21" t="n"/>
      <c r="B50" s="21" t="n"/>
      <c r="C50" s="21" t="n"/>
      <c r="D50" s="18" t="n"/>
      <c r="E50" s="21" t="n"/>
      <c r="F50" s="21" t="n"/>
      <c r="G50" s="24" t="n"/>
      <c r="H50" s="18" t="n"/>
      <c r="I50" s="21">
        <f>IF(OR(B50="完成",D50=""),"",IF(TODAY()&gt;D50,"逾期",""))</f>
        <v/>
      </c>
      <c r="J50" s="25">
        <f>IF(D50="","",D50-TODAY())</f>
        <v/>
      </c>
    </row>
    <row r="51">
      <c r="A51" s="21" t="n"/>
      <c r="B51" s="21" t="n"/>
      <c r="C51" s="21" t="n"/>
      <c r="D51" s="18" t="n"/>
      <c r="E51" s="21" t="n"/>
      <c r="F51" s="21" t="n"/>
      <c r="G51" s="24" t="n"/>
      <c r="H51" s="18" t="n"/>
      <c r="I51" s="21">
        <f>IF(OR(B51="完成",D51=""),"",IF(TODAY()&gt;D51,"逾期",""))</f>
        <v/>
      </c>
      <c r="J51" s="25">
        <f>IF(D51="","",D51-TODAY())</f>
        <v/>
      </c>
    </row>
    <row r="52">
      <c r="A52" s="21" t="n"/>
      <c r="B52" s="21" t="n"/>
      <c r="C52" s="21" t="n"/>
      <c r="D52" s="18" t="n"/>
      <c r="E52" s="21" t="n"/>
      <c r="F52" s="21" t="n"/>
      <c r="G52" s="24" t="n"/>
      <c r="H52" s="18" t="n"/>
      <c r="I52" s="21">
        <f>IF(OR(B52="完成",D52=""),"",IF(TODAY()&gt;D52,"逾期",""))</f>
        <v/>
      </c>
      <c r="J52" s="25">
        <f>IF(D52="","",D52-TODAY())</f>
        <v/>
      </c>
    </row>
    <row r="53">
      <c r="A53" s="21" t="n"/>
      <c r="B53" s="21" t="n"/>
      <c r="C53" s="21" t="n"/>
      <c r="D53" s="18" t="n"/>
      <c r="E53" s="21" t="n"/>
      <c r="F53" s="21" t="n"/>
      <c r="G53" s="24" t="n"/>
      <c r="H53" s="18" t="n"/>
      <c r="I53" s="21">
        <f>IF(OR(B53="完成",D53=""),"",IF(TODAY()&gt;D53,"逾期",""))</f>
        <v/>
      </c>
      <c r="J53" s="25">
        <f>IF(D53="","",D53-TODAY())</f>
        <v/>
      </c>
    </row>
    <row r="54">
      <c r="A54" s="21" t="n"/>
      <c r="B54" s="21" t="n"/>
      <c r="C54" s="21" t="n"/>
      <c r="D54" s="18" t="n"/>
      <c r="E54" s="21" t="n"/>
      <c r="F54" s="21" t="n"/>
      <c r="G54" s="24" t="n"/>
      <c r="H54" s="18" t="n"/>
      <c r="I54" s="21">
        <f>IF(OR(B54="完成",D54=""),"",IF(TODAY()&gt;D54,"逾期",""))</f>
        <v/>
      </c>
      <c r="J54" s="25">
        <f>IF(D54="","",D54-TODAY())</f>
        <v/>
      </c>
    </row>
    <row r="55">
      <c r="A55" s="21" t="n"/>
      <c r="B55" s="21" t="n"/>
      <c r="C55" s="21" t="n"/>
      <c r="D55" s="18" t="n"/>
      <c r="E55" s="21" t="n"/>
      <c r="F55" s="21" t="n"/>
      <c r="G55" s="24" t="n"/>
      <c r="H55" s="18" t="n"/>
      <c r="I55" s="21">
        <f>IF(OR(B55="完成",D55=""),"",IF(TODAY()&gt;D55,"逾期",""))</f>
        <v/>
      </c>
      <c r="J55" s="25">
        <f>IF(D55="","",D55-TODAY())</f>
        <v/>
      </c>
    </row>
    <row r="56">
      <c r="A56" s="21" t="n"/>
      <c r="B56" s="21" t="n"/>
      <c r="C56" s="21" t="n"/>
      <c r="D56" s="18" t="n"/>
      <c r="E56" s="21" t="n"/>
      <c r="F56" s="21" t="n"/>
      <c r="G56" s="24" t="n"/>
      <c r="H56" s="18" t="n"/>
      <c r="I56" s="21">
        <f>IF(OR(B56="完成",D56=""),"",IF(TODAY()&gt;D56,"逾期",""))</f>
        <v/>
      </c>
      <c r="J56" s="25">
        <f>IF(D56="","",D56-TODAY())</f>
        <v/>
      </c>
    </row>
    <row r="57">
      <c r="A57" s="21" t="n"/>
      <c r="B57" s="21" t="n"/>
      <c r="C57" s="21" t="n"/>
      <c r="D57" s="18" t="n"/>
      <c r="E57" s="21" t="n"/>
      <c r="F57" s="21" t="n"/>
      <c r="G57" s="24" t="n"/>
      <c r="H57" s="18" t="n"/>
      <c r="I57" s="21">
        <f>IF(OR(B57="完成",D57=""),"",IF(TODAY()&gt;D57,"逾期",""))</f>
        <v/>
      </c>
      <c r="J57" s="25">
        <f>IF(D57="","",D57-TODAY())</f>
        <v/>
      </c>
    </row>
    <row r="58">
      <c r="A58" s="21" t="n"/>
      <c r="B58" s="21" t="n"/>
      <c r="C58" s="21" t="n"/>
      <c r="D58" s="18" t="n"/>
      <c r="E58" s="21" t="n"/>
      <c r="F58" s="21" t="n"/>
      <c r="G58" s="24" t="n"/>
      <c r="H58" s="18" t="n"/>
      <c r="I58" s="21">
        <f>IF(OR(B58="完成",D58=""),"",IF(TODAY()&gt;D58,"逾期",""))</f>
        <v/>
      </c>
      <c r="J58" s="25">
        <f>IF(D58="","",D58-TODAY())</f>
        <v/>
      </c>
    </row>
    <row r="59">
      <c r="A59" s="21" t="n"/>
      <c r="B59" s="21" t="n"/>
      <c r="C59" s="21" t="n"/>
      <c r="D59" s="18" t="n"/>
      <c r="E59" s="21" t="n"/>
      <c r="F59" s="21" t="n"/>
      <c r="G59" s="24" t="n"/>
      <c r="H59" s="18" t="n"/>
      <c r="I59" s="21">
        <f>IF(OR(B59="完成",D59=""),"",IF(TODAY()&gt;D59,"逾期",""))</f>
        <v/>
      </c>
      <c r="J59" s="25">
        <f>IF(D59="","",D59-TODAY())</f>
        <v/>
      </c>
    </row>
    <row r="60">
      <c r="A60" s="21" t="n"/>
      <c r="B60" s="21" t="n"/>
      <c r="C60" s="21" t="n"/>
      <c r="D60" s="18" t="n"/>
      <c r="E60" s="21" t="n"/>
      <c r="F60" s="21" t="n"/>
      <c r="G60" s="24" t="n"/>
      <c r="H60" s="18" t="n"/>
      <c r="I60" s="21">
        <f>IF(OR(B60="完成",D60=""),"",IF(TODAY()&gt;D60,"逾期",""))</f>
        <v/>
      </c>
      <c r="J60" s="25">
        <f>IF(D60="","",D60-TODAY())</f>
        <v/>
      </c>
    </row>
    <row r="61">
      <c r="A61" s="21" t="n"/>
      <c r="B61" s="21" t="n"/>
      <c r="C61" s="21" t="n"/>
      <c r="D61" s="18" t="n"/>
      <c r="E61" s="21" t="n"/>
      <c r="F61" s="21" t="n"/>
      <c r="G61" s="24" t="n"/>
      <c r="H61" s="18" t="n"/>
      <c r="I61" s="21">
        <f>IF(OR(B61="完成",D61=""),"",IF(TODAY()&gt;D61,"逾期",""))</f>
        <v/>
      </c>
      <c r="J61" s="25">
        <f>IF(D61="","",D61-TODAY())</f>
        <v/>
      </c>
    </row>
    <row r="62">
      <c r="A62" s="21" t="n"/>
      <c r="B62" s="21" t="n"/>
      <c r="C62" s="21" t="n"/>
      <c r="D62" s="18" t="n"/>
      <c r="E62" s="21" t="n"/>
      <c r="F62" s="21" t="n"/>
      <c r="G62" s="24" t="n"/>
      <c r="H62" s="18" t="n"/>
      <c r="I62" s="21">
        <f>IF(OR(B62="完成",D62=""),"",IF(TODAY()&gt;D62,"逾期",""))</f>
        <v/>
      </c>
      <c r="J62" s="25">
        <f>IF(D62="","",D62-TODAY())</f>
        <v/>
      </c>
    </row>
    <row r="63">
      <c r="A63" s="21" t="n"/>
      <c r="B63" s="21" t="n"/>
      <c r="C63" s="21" t="n"/>
      <c r="D63" s="18" t="n"/>
      <c r="E63" s="21" t="n"/>
      <c r="F63" s="21" t="n"/>
      <c r="G63" s="24" t="n"/>
      <c r="H63" s="18" t="n"/>
      <c r="I63" s="21">
        <f>IF(OR(B63="完成",D63=""),"",IF(TODAY()&gt;D63,"逾期",""))</f>
        <v/>
      </c>
      <c r="J63" s="25">
        <f>IF(D63="","",D63-TODAY())</f>
        <v/>
      </c>
    </row>
    <row r="64">
      <c r="A64" s="21" t="n"/>
      <c r="B64" s="21" t="n"/>
      <c r="C64" s="21" t="n"/>
      <c r="D64" s="18" t="n"/>
      <c r="E64" s="21" t="n"/>
      <c r="F64" s="21" t="n"/>
      <c r="G64" s="24" t="n"/>
      <c r="H64" s="18" t="n"/>
      <c r="I64" s="21">
        <f>IF(OR(B64="完成",D64=""),"",IF(TODAY()&gt;D64,"逾期",""))</f>
        <v/>
      </c>
      <c r="J64" s="25">
        <f>IF(D64="","",D64-TODAY())</f>
        <v/>
      </c>
    </row>
    <row r="65">
      <c r="A65" s="21" t="n"/>
      <c r="B65" s="21" t="n"/>
      <c r="C65" s="21" t="n"/>
      <c r="D65" s="18" t="n"/>
      <c r="E65" s="21" t="n"/>
      <c r="F65" s="21" t="n"/>
      <c r="G65" s="24" t="n"/>
      <c r="H65" s="18" t="n"/>
      <c r="I65" s="21">
        <f>IF(OR(B65="完成",D65=""),"",IF(TODAY()&gt;D65,"逾期",""))</f>
        <v/>
      </c>
      <c r="J65" s="25">
        <f>IF(D65="","",D65-TODAY())</f>
        <v/>
      </c>
    </row>
    <row r="66">
      <c r="A66" s="21" t="n"/>
      <c r="B66" s="21" t="n"/>
      <c r="C66" s="21" t="n"/>
      <c r="D66" s="18" t="n"/>
      <c r="E66" s="21" t="n"/>
      <c r="F66" s="21" t="n"/>
      <c r="G66" s="24" t="n"/>
      <c r="H66" s="18" t="n"/>
      <c r="I66" s="21">
        <f>IF(OR(B66="完成",D66=""),"",IF(TODAY()&gt;D66,"逾期",""))</f>
        <v/>
      </c>
      <c r="J66" s="25">
        <f>IF(D66="","",D66-TODAY())</f>
        <v/>
      </c>
    </row>
    <row r="67">
      <c r="A67" s="21" t="n"/>
      <c r="B67" s="21" t="n"/>
      <c r="C67" s="21" t="n"/>
      <c r="D67" s="18" t="n"/>
      <c r="E67" s="21" t="n"/>
      <c r="F67" s="21" t="n"/>
      <c r="G67" s="24" t="n"/>
      <c r="H67" s="18" t="n"/>
      <c r="I67" s="21">
        <f>IF(OR(B67="完成",D67=""),"",IF(TODAY()&gt;D67,"逾期",""))</f>
        <v/>
      </c>
      <c r="J67" s="25">
        <f>IF(D67="","",D67-TODAY())</f>
        <v/>
      </c>
    </row>
    <row r="68">
      <c r="A68" s="21" t="n"/>
      <c r="B68" s="21" t="n"/>
      <c r="C68" s="21" t="n"/>
      <c r="D68" s="18" t="n"/>
      <c r="E68" s="21" t="n"/>
      <c r="F68" s="21" t="n"/>
      <c r="G68" s="24" t="n"/>
      <c r="H68" s="18" t="n"/>
      <c r="I68" s="21">
        <f>IF(OR(B68="完成",D68=""),"",IF(TODAY()&gt;D68,"逾期",""))</f>
        <v/>
      </c>
      <c r="J68" s="25">
        <f>IF(D68="","",D68-TODAY())</f>
        <v/>
      </c>
    </row>
    <row r="69">
      <c r="A69" s="21" t="n"/>
      <c r="B69" s="21" t="n"/>
      <c r="C69" s="21" t="n"/>
      <c r="D69" s="18" t="n"/>
      <c r="E69" s="21" t="n"/>
      <c r="F69" s="21" t="n"/>
      <c r="G69" s="24" t="n"/>
      <c r="H69" s="18" t="n"/>
      <c r="I69" s="21">
        <f>IF(OR(B69="完成",D69=""),"",IF(TODAY()&gt;D69,"逾期",""))</f>
        <v/>
      </c>
      <c r="J69" s="25">
        <f>IF(D69="","",D69-TODAY())</f>
        <v/>
      </c>
    </row>
    <row r="70">
      <c r="A70" s="21" t="n"/>
      <c r="B70" s="21" t="n"/>
      <c r="C70" s="21" t="n"/>
      <c r="D70" s="18" t="n"/>
      <c r="E70" s="21" t="n"/>
      <c r="F70" s="21" t="n"/>
      <c r="G70" s="24" t="n"/>
      <c r="H70" s="18" t="n"/>
      <c r="I70" s="21">
        <f>IF(OR(B70="完成",D70=""),"",IF(TODAY()&gt;D70,"逾期",""))</f>
        <v/>
      </c>
      <c r="J70" s="25">
        <f>IF(D70="","",D70-TODAY())</f>
        <v/>
      </c>
    </row>
    <row r="71">
      <c r="A71" s="21" t="n"/>
      <c r="B71" s="21" t="n"/>
      <c r="C71" s="21" t="n"/>
      <c r="D71" s="18" t="n"/>
      <c r="E71" s="21" t="n"/>
      <c r="F71" s="21" t="n"/>
      <c r="G71" s="24" t="n"/>
      <c r="H71" s="18" t="n"/>
      <c r="I71" s="21">
        <f>IF(OR(B71="完成",D71=""),"",IF(TODAY()&gt;D71,"逾期",""))</f>
        <v/>
      </c>
      <c r="J71" s="25">
        <f>IF(D71="","",D71-TODAY())</f>
        <v/>
      </c>
    </row>
    <row r="72">
      <c r="A72" s="21" t="n"/>
      <c r="B72" s="21" t="n"/>
      <c r="C72" s="21" t="n"/>
      <c r="D72" s="18" t="n"/>
      <c r="E72" s="21" t="n"/>
      <c r="F72" s="21" t="n"/>
      <c r="G72" s="24" t="n"/>
      <c r="H72" s="18" t="n"/>
      <c r="I72" s="21">
        <f>IF(OR(B72="完成",D72=""),"",IF(TODAY()&gt;D72,"逾期",""))</f>
        <v/>
      </c>
      <c r="J72" s="25">
        <f>IF(D72="","",D72-TODAY())</f>
        <v/>
      </c>
    </row>
    <row r="73">
      <c r="A73" s="21" t="n"/>
      <c r="B73" s="21" t="n"/>
      <c r="C73" s="21" t="n"/>
      <c r="D73" s="18" t="n"/>
      <c r="E73" s="21" t="n"/>
      <c r="F73" s="21" t="n"/>
      <c r="G73" s="24" t="n"/>
      <c r="H73" s="18" t="n"/>
      <c r="I73" s="21">
        <f>IF(OR(B73="完成",D73=""),"",IF(TODAY()&gt;D73,"逾期",""))</f>
        <v/>
      </c>
      <c r="J73" s="25">
        <f>IF(D73="","",D73-TODAY())</f>
        <v/>
      </c>
    </row>
    <row r="74">
      <c r="A74" s="21" t="n"/>
      <c r="B74" s="21" t="n"/>
      <c r="C74" s="21" t="n"/>
      <c r="D74" s="18" t="n"/>
      <c r="E74" s="21" t="n"/>
      <c r="F74" s="21" t="n"/>
      <c r="G74" s="24" t="n"/>
      <c r="H74" s="18" t="n"/>
      <c r="I74" s="21">
        <f>IF(OR(B74="完成",D74=""),"",IF(TODAY()&gt;D74,"逾期",""))</f>
        <v/>
      </c>
      <c r="J74" s="25">
        <f>IF(D74="","",D74-TODAY())</f>
        <v/>
      </c>
    </row>
    <row r="75">
      <c r="A75" s="21" t="n"/>
      <c r="B75" s="21" t="n"/>
      <c r="C75" s="21" t="n"/>
      <c r="D75" s="18" t="n"/>
      <c r="E75" s="21" t="n"/>
      <c r="F75" s="21" t="n"/>
      <c r="G75" s="24" t="n"/>
      <c r="H75" s="18" t="n"/>
      <c r="I75" s="21">
        <f>IF(OR(B75="完成",D75=""),"",IF(TODAY()&gt;D75,"逾期",""))</f>
        <v/>
      </c>
      <c r="J75" s="25">
        <f>IF(D75="","",D75-TODAY())</f>
        <v/>
      </c>
    </row>
    <row r="76">
      <c r="A76" s="21" t="n"/>
      <c r="B76" s="21" t="n"/>
      <c r="C76" s="21" t="n"/>
      <c r="D76" s="18" t="n"/>
      <c r="E76" s="21" t="n"/>
      <c r="F76" s="21" t="n"/>
      <c r="G76" s="24" t="n"/>
      <c r="H76" s="18" t="n"/>
      <c r="I76" s="21">
        <f>IF(OR(B76="完成",D76=""),"",IF(TODAY()&gt;D76,"逾期",""))</f>
        <v/>
      </c>
      <c r="J76" s="25">
        <f>IF(D76="","",D76-TODAY())</f>
        <v/>
      </c>
    </row>
    <row r="77">
      <c r="A77" s="21" t="n"/>
      <c r="B77" s="21" t="n"/>
      <c r="C77" s="21" t="n"/>
      <c r="D77" s="18" t="n"/>
      <c r="E77" s="21" t="n"/>
      <c r="F77" s="21" t="n"/>
      <c r="G77" s="24" t="n"/>
      <c r="H77" s="18" t="n"/>
      <c r="I77" s="21">
        <f>IF(OR(B77="完成",D77=""),"",IF(TODAY()&gt;D77,"逾期",""))</f>
        <v/>
      </c>
      <c r="J77" s="25">
        <f>IF(D77="","",D77-TODAY())</f>
        <v/>
      </c>
    </row>
    <row r="78">
      <c r="A78" s="21" t="n"/>
      <c r="B78" s="21" t="n"/>
      <c r="C78" s="21" t="n"/>
      <c r="D78" s="18" t="n"/>
      <c r="E78" s="21" t="n"/>
      <c r="F78" s="21" t="n"/>
      <c r="G78" s="24" t="n"/>
      <c r="H78" s="18" t="n"/>
      <c r="I78" s="21">
        <f>IF(OR(B78="完成",D78=""),"",IF(TODAY()&gt;D78,"逾期",""))</f>
        <v/>
      </c>
      <c r="J78" s="25">
        <f>IF(D78="","",D78-TODAY())</f>
        <v/>
      </c>
    </row>
    <row r="79">
      <c r="A79" s="21" t="n"/>
      <c r="B79" s="21" t="n"/>
      <c r="C79" s="21" t="n"/>
      <c r="D79" s="18" t="n"/>
      <c r="E79" s="21" t="n"/>
      <c r="F79" s="21" t="n"/>
      <c r="G79" s="24" t="n"/>
      <c r="H79" s="18" t="n"/>
      <c r="I79" s="21">
        <f>IF(OR(B79="完成",D79=""),"",IF(TODAY()&gt;D79,"逾期",""))</f>
        <v/>
      </c>
      <c r="J79" s="25">
        <f>IF(D79="","",D79-TODAY())</f>
        <v/>
      </c>
    </row>
    <row r="80">
      <c r="A80" s="21" t="n"/>
      <c r="B80" s="21" t="n"/>
      <c r="C80" s="21" t="n"/>
      <c r="D80" s="18" t="n"/>
      <c r="E80" s="21" t="n"/>
      <c r="F80" s="21" t="n"/>
      <c r="G80" s="24" t="n"/>
      <c r="H80" s="18" t="n"/>
      <c r="I80" s="21">
        <f>IF(OR(B80="完成",D80=""),"",IF(TODAY()&gt;D80,"逾期",""))</f>
        <v/>
      </c>
      <c r="J80" s="25">
        <f>IF(D80="","",D80-TODAY())</f>
        <v/>
      </c>
    </row>
    <row r="81">
      <c r="A81" s="21" t="n"/>
      <c r="B81" s="21" t="n"/>
      <c r="C81" s="21" t="n"/>
      <c r="D81" s="18" t="n"/>
      <c r="E81" s="21" t="n"/>
      <c r="F81" s="21" t="n"/>
      <c r="G81" s="24" t="n"/>
      <c r="H81" s="18" t="n"/>
      <c r="I81" s="21">
        <f>IF(OR(B81="完成",D81=""),"",IF(TODAY()&gt;D81,"逾期",""))</f>
        <v/>
      </c>
      <c r="J81" s="25">
        <f>IF(D81="","",D81-TODAY())</f>
        <v/>
      </c>
    </row>
    <row r="82">
      <c r="A82" s="21" t="n"/>
      <c r="B82" s="21" t="n"/>
      <c r="C82" s="21" t="n"/>
      <c r="D82" s="18" t="n"/>
      <c r="E82" s="21" t="n"/>
      <c r="F82" s="21" t="n"/>
      <c r="G82" s="24" t="n"/>
      <c r="H82" s="18" t="n"/>
      <c r="I82" s="21">
        <f>IF(OR(B82="完成",D82=""),"",IF(TODAY()&gt;D82,"逾期",""))</f>
        <v/>
      </c>
      <c r="J82" s="25">
        <f>IF(D82="","",D82-TODAY())</f>
        <v/>
      </c>
    </row>
    <row r="83">
      <c r="A83" s="21" t="n"/>
      <c r="B83" s="21" t="n"/>
      <c r="C83" s="21" t="n"/>
      <c r="D83" s="18" t="n"/>
      <c r="E83" s="21" t="n"/>
      <c r="F83" s="21" t="n"/>
      <c r="G83" s="24" t="n"/>
      <c r="H83" s="18" t="n"/>
      <c r="I83" s="21">
        <f>IF(OR(B83="完成",D83=""),"",IF(TODAY()&gt;D83,"逾期",""))</f>
        <v/>
      </c>
      <c r="J83" s="25">
        <f>IF(D83="","",D83-TODAY())</f>
        <v/>
      </c>
    </row>
    <row r="84">
      <c r="A84" s="21" t="n"/>
      <c r="B84" s="21" t="n"/>
      <c r="C84" s="21" t="n"/>
      <c r="D84" s="18" t="n"/>
      <c r="E84" s="21" t="n"/>
      <c r="F84" s="21" t="n"/>
      <c r="G84" s="24" t="n"/>
      <c r="H84" s="18" t="n"/>
      <c r="I84" s="21">
        <f>IF(OR(B84="完成",D84=""),"",IF(TODAY()&gt;D84,"逾期",""))</f>
        <v/>
      </c>
      <c r="J84" s="25">
        <f>IF(D84="","",D84-TODAY())</f>
        <v/>
      </c>
    </row>
    <row r="85">
      <c r="A85" s="21" t="n"/>
      <c r="B85" s="21" t="n"/>
      <c r="C85" s="21" t="n"/>
      <c r="D85" s="18" t="n"/>
      <c r="E85" s="21" t="n"/>
      <c r="F85" s="21" t="n"/>
      <c r="G85" s="24" t="n"/>
      <c r="H85" s="18" t="n"/>
      <c r="I85" s="21">
        <f>IF(OR(B85="完成",D85=""),"",IF(TODAY()&gt;D85,"逾期",""))</f>
        <v/>
      </c>
      <c r="J85" s="25">
        <f>IF(D85="","",D85-TODAY())</f>
        <v/>
      </c>
    </row>
    <row r="86">
      <c r="A86" s="21" t="n"/>
      <c r="B86" s="21" t="n"/>
      <c r="C86" s="21" t="n"/>
      <c r="D86" s="18" t="n"/>
      <c r="E86" s="21" t="n"/>
      <c r="F86" s="21" t="n"/>
      <c r="G86" s="24" t="n"/>
      <c r="H86" s="18" t="n"/>
      <c r="I86" s="21">
        <f>IF(OR(B86="完成",D86=""),"",IF(TODAY()&gt;D86,"逾期",""))</f>
        <v/>
      </c>
      <c r="J86" s="25">
        <f>IF(D86="","",D86-TODAY())</f>
        <v/>
      </c>
    </row>
    <row r="87">
      <c r="A87" s="21" t="n"/>
      <c r="B87" s="21" t="n"/>
      <c r="C87" s="21" t="n"/>
      <c r="D87" s="18" t="n"/>
      <c r="E87" s="21" t="n"/>
      <c r="F87" s="21" t="n"/>
      <c r="G87" s="24" t="n"/>
      <c r="H87" s="18" t="n"/>
      <c r="I87" s="21">
        <f>IF(OR(B87="完成",D87=""),"",IF(TODAY()&gt;D87,"逾期",""))</f>
        <v/>
      </c>
      <c r="J87" s="25">
        <f>IF(D87="","",D87-TODAY())</f>
        <v/>
      </c>
    </row>
    <row r="88">
      <c r="A88" s="21" t="n"/>
      <c r="B88" s="21" t="n"/>
      <c r="C88" s="21" t="n"/>
      <c r="D88" s="18" t="n"/>
      <c r="E88" s="21" t="n"/>
      <c r="F88" s="21" t="n"/>
      <c r="G88" s="24" t="n"/>
      <c r="H88" s="18" t="n"/>
      <c r="I88" s="21">
        <f>IF(OR(B88="完成",D88=""),"",IF(TODAY()&gt;D88,"逾期",""))</f>
        <v/>
      </c>
      <c r="J88" s="25">
        <f>IF(D88="","",D88-TODAY())</f>
        <v/>
      </c>
    </row>
    <row r="89">
      <c r="A89" s="21" t="n"/>
      <c r="B89" s="21" t="n"/>
      <c r="C89" s="21" t="n"/>
      <c r="D89" s="18" t="n"/>
      <c r="E89" s="21" t="n"/>
      <c r="F89" s="21" t="n"/>
      <c r="G89" s="24" t="n"/>
      <c r="H89" s="18" t="n"/>
      <c r="I89" s="21">
        <f>IF(OR(B89="完成",D89=""),"",IF(TODAY()&gt;D89,"逾期",""))</f>
        <v/>
      </c>
      <c r="J89" s="25">
        <f>IF(D89="","",D89-TODAY())</f>
        <v/>
      </c>
    </row>
    <row r="90">
      <c r="A90" s="21" t="n"/>
      <c r="B90" s="21" t="n"/>
      <c r="C90" s="21" t="n"/>
      <c r="D90" s="18" t="n"/>
      <c r="E90" s="21" t="n"/>
      <c r="F90" s="21" t="n"/>
      <c r="G90" s="24" t="n"/>
      <c r="H90" s="18" t="n"/>
      <c r="I90" s="21">
        <f>IF(OR(B90="完成",D90=""),"",IF(TODAY()&gt;D90,"逾期",""))</f>
        <v/>
      </c>
      <c r="J90" s="25">
        <f>IF(D90="","",D90-TODAY())</f>
        <v/>
      </c>
    </row>
    <row r="91">
      <c r="A91" s="21" t="n"/>
      <c r="B91" s="21" t="n"/>
      <c r="C91" s="21" t="n"/>
      <c r="D91" s="18" t="n"/>
      <c r="E91" s="21" t="n"/>
      <c r="F91" s="21" t="n"/>
      <c r="G91" s="24" t="n"/>
      <c r="H91" s="18" t="n"/>
      <c r="I91" s="21">
        <f>IF(OR(B91="完成",D91=""),"",IF(TODAY()&gt;D91,"逾期",""))</f>
        <v/>
      </c>
      <c r="J91" s="25">
        <f>IF(D91="","",D91-TODAY())</f>
        <v/>
      </c>
    </row>
    <row r="92">
      <c r="A92" s="21" t="n"/>
      <c r="B92" s="21" t="n"/>
      <c r="C92" s="21" t="n"/>
      <c r="D92" s="18" t="n"/>
      <c r="E92" s="21" t="n"/>
      <c r="F92" s="21" t="n"/>
      <c r="G92" s="24" t="n"/>
      <c r="H92" s="18" t="n"/>
      <c r="I92" s="21">
        <f>IF(OR(B92="完成",D92=""),"",IF(TODAY()&gt;D92,"逾期",""))</f>
        <v/>
      </c>
      <c r="J92" s="25">
        <f>IF(D92="","",D92-TODAY())</f>
        <v/>
      </c>
    </row>
    <row r="93">
      <c r="A93" s="21" t="n"/>
      <c r="B93" s="21" t="n"/>
      <c r="C93" s="21" t="n"/>
      <c r="D93" s="18" t="n"/>
      <c r="E93" s="21" t="n"/>
      <c r="F93" s="21" t="n"/>
      <c r="G93" s="24" t="n"/>
      <c r="H93" s="18" t="n"/>
      <c r="I93" s="21">
        <f>IF(OR(B93="完成",D93=""),"",IF(TODAY()&gt;D93,"逾期",""))</f>
        <v/>
      </c>
      <c r="J93" s="25">
        <f>IF(D93="","",D93-TODAY())</f>
        <v/>
      </c>
    </row>
    <row r="94">
      <c r="A94" s="21" t="n"/>
      <c r="B94" s="21" t="n"/>
      <c r="C94" s="21" t="n"/>
      <c r="D94" s="18" t="n"/>
      <c r="E94" s="21" t="n"/>
      <c r="F94" s="21" t="n"/>
      <c r="G94" s="24" t="n"/>
      <c r="H94" s="18" t="n"/>
      <c r="I94" s="21">
        <f>IF(OR(B94="完成",D94=""),"",IF(TODAY()&gt;D94,"逾期",""))</f>
        <v/>
      </c>
      <c r="J94" s="25">
        <f>IF(D94="","",D94-TODAY())</f>
        <v/>
      </c>
    </row>
    <row r="95">
      <c r="A95" s="21" t="n"/>
      <c r="B95" s="21" t="n"/>
      <c r="C95" s="21" t="n"/>
      <c r="D95" s="18" t="n"/>
      <c r="E95" s="21" t="n"/>
      <c r="F95" s="21" t="n"/>
      <c r="G95" s="24" t="n"/>
      <c r="H95" s="18" t="n"/>
      <c r="I95" s="21">
        <f>IF(OR(B95="完成",D95=""),"",IF(TODAY()&gt;D95,"逾期",""))</f>
        <v/>
      </c>
      <c r="J95" s="25">
        <f>IF(D95="","",D95-TODAY())</f>
        <v/>
      </c>
    </row>
    <row r="96">
      <c r="A96" s="21" t="n"/>
      <c r="B96" s="21" t="n"/>
      <c r="C96" s="21" t="n"/>
      <c r="D96" s="18" t="n"/>
      <c r="E96" s="21" t="n"/>
      <c r="F96" s="21" t="n"/>
      <c r="G96" s="24" t="n"/>
      <c r="H96" s="18" t="n"/>
      <c r="I96" s="21">
        <f>IF(OR(B96="完成",D96=""),"",IF(TODAY()&gt;D96,"逾期",""))</f>
        <v/>
      </c>
      <c r="J96" s="25">
        <f>IF(D96="","",D96-TODAY())</f>
        <v/>
      </c>
    </row>
    <row r="97">
      <c r="A97" s="21" t="n"/>
      <c r="B97" s="21" t="n"/>
      <c r="C97" s="21" t="n"/>
      <c r="D97" s="18" t="n"/>
      <c r="E97" s="21" t="n"/>
      <c r="F97" s="21" t="n"/>
      <c r="G97" s="24" t="n"/>
      <c r="H97" s="18" t="n"/>
      <c r="I97" s="21">
        <f>IF(OR(B97="完成",D97=""),"",IF(TODAY()&gt;D97,"逾期",""))</f>
        <v/>
      </c>
      <c r="J97" s="25">
        <f>IF(D97="","",D97-TODAY())</f>
        <v/>
      </c>
    </row>
    <row r="98">
      <c r="A98" s="21" t="n"/>
      <c r="B98" s="21" t="n"/>
      <c r="C98" s="21" t="n"/>
      <c r="D98" s="18" t="n"/>
      <c r="E98" s="21" t="n"/>
      <c r="F98" s="21" t="n"/>
      <c r="G98" s="24" t="n"/>
      <c r="H98" s="18" t="n"/>
      <c r="I98" s="21">
        <f>IF(OR(B98="完成",D98=""),"",IF(TODAY()&gt;D98,"逾期",""))</f>
        <v/>
      </c>
      <c r="J98" s="25">
        <f>IF(D98="","",D98-TODAY())</f>
        <v/>
      </c>
    </row>
    <row r="99">
      <c r="A99" s="21" t="n"/>
      <c r="B99" s="21" t="n"/>
      <c r="C99" s="21" t="n"/>
      <c r="D99" s="18" t="n"/>
      <c r="E99" s="21" t="n"/>
      <c r="F99" s="21" t="n"/>
      <c r="G99" s="24" t="n"/>
      <c r="H99" s="18" t="n"/>
      <c r="I99" s="21">
        <f>IF(OR(B99="完成",D99=""),"",IF(TODAY()&gt;D99,"逾期",""))</f>
        <v/>
      </c>
      <c r="J99" s="25">
        <f>IF(D99="","",D99-TODAY())</f>
        <v/>
      </c>
    </row>
    <row r="100">
      <c r="A100" s="21" t="n"/>
      <c r="B100" s="21" t="n"/>
      <c r="C100" s="21" t="n"/>
      <c r="D100" s="18" t="n"/>
      <c r="E100" s="21" t="n"/>
      <c r="F100" s="21" t="n"/>
      <c r="G100" s="24" t="n"/>
      <c r="H100" s="18" t="n"/>
      <c r="I100" s="21">
        <f>IF(OR(B100="完成",D100=""),"",IF(TODAY()&gt;D100,"逾期",""))</f>
        <v/>
      </c>
      <c r="J100" s="25">
        <f>IF(D100="","",D100-TODAY())</f>
        <v/>
      </c>
    </row>
    <row r="101">
      <c r="A101" s="21" t="n"/>
      <c r="B101" s="21" t="n"/>
      <c r="C101" s="21" t="n"/>
      <c r="D101" s="18" t="n"/>
      <c r="E101" s="21" t="n"/>
      <c r="F101" s="21" t="n"/>
      <c r="G101" s="24" t="n"/>
      <c r="H101" s="18" t="n"/>
      <c r="I101" s="21">
        <f>IF(OR(B101="完成",D101=""),"",IF(TODAY()&gt;D101,"逾期",""))</f>
        <v/>
      </c>
      <c r="J101" s="25">
        <f>IF(D101="","",D101-TODAY())</f>
        <v/>
      </c>
    </row>
    <row r="102">
      <c r="A102" s="21" t="n"/>
      <c r="B102" s="21" t="n"/>
      <c r="C102" s="21" t="n"/>
      <c r="D102" s="18" t="n"/>
      <c r="E102" s="21" t="n"/>
      <c r="F102" s="21" t="n"/>
      <c r="G102" s="24" t="n"/>
      <c r="H102" s="18" t="n"/>
      <c r="I102" s="21">
        <f>IF(OR(B102="完成",D102=""),"",IF(TODAY()&gt;D102,"逾期",""))</f>
        <v/>
      </c>
      <c r="J102" s="25">
        <f>IF(D102="","",D102-TODAY())</f>
        <v/>
      </c>
    </row>
    <row r="103">
      <c r="A103" s="21" t="n"/>
      <c r="B103" s="21" t="n"/>
      <c r="C103" s="21" t="n"/>
      <c r="D103" s="18" t="n"/>
      <c r="E103" s="21" t="n"/>
      <c r="F103" s="21" t="n"/>
      <c r="G103" s="24" t="n"/>
      <c r="H103" s="18" t="n"/>
      <c r="I103" s="21">
        <f>IF(OR(B103="完成",D103=""),"",IF(TODAY()&gt;D103,"逾期",""))</f>
        <v/>
      </c>
      <c r="J103" s="25">
        <f>IF(D103="","",D103-TODAY())</f>
        <v/>
      </c>
    </row>
    <row r="104">
      <c r="A104" s="21" t="n"/>
      <c r="B104" s="21" t="n"/>
      <c r="C104" s="21" t="n"/>
      <c r="D104" s="18" t="n"/>
      <c r="E104" s="21" t="n"/>
      <c r="F104" s="21" t="n"/>
      <c r="G104" s="24" t="n"/>
      <c r="H104" s="18" t="n"/>
      <c r="I104" s="21">
        <f>IF(OR(B104="完成",D104=""),"",IF(TODAY()&gt;D104,"逾期",""))</f>
        <v/>
      </c>
      <c r="J104" s="25">
        <f>IF(D104="","",D104-TODAY())</f>
        <v/>
      </c>
    </row>
    <row r="105">
      <c r="A105" s="21" t="n"/>
      <c r="B105" s="21" t="n"/>
      <c r="C105" s="21" t="n"/>
      <c r="D105" s="18" t="n"/>
      <c r="E105" s="21" t="n"/>
      <c r="F105" s="21" t="n"/>
      <c r="G105" s="24" t="n"/>
      <c r="H105" s="18" t="n"/>
      <c r="I105" s="21">
        <f>IF(OR(B105="完成",D105=""),"",IF(TODAY()&gt;D105,"逾期",""))</f>
        <v/>
      </c>
      <c r="J105" s="25">
        <f>IF(D105="","",D105-TODAY())</f>
        <v/>
      </c>
    </row>
    <row r="106">
      <c r="A106" s="21" t="n"/>
      <c r="B106" s="21" t="n"/>
      <c r="C106" s="21" t="n"/>
      <c r="D106" s="18" t="n"/>
      <c r="E106" s="21" t="n"/>
      <c r="F106" s="21" t="n"/>
      <c r="G106" s="24" t="n"/>
      <c r="H106" s="18" t="n"/>
      <c r="I106" s="21">
        <f>IF(OR(B106="完成",D106=""),"",IF(TODAY()&gt;D106,"逾期",""))</f>
        <v/>
      </c>
      <c r="J106" s="25">
        <f>IF(D106="","",D106-TODAY())</f>
        <v/>
      </c>
    </row>
    <row r="107">
      <c r="A107" s="21" t="n"/>
      <c r="B107" s="21" t="n"/>
      <c r="C107" s="21" t="n"/>
      <c r="D107" s="18" t="n"/>
      <c r="E107" s="21" t="n"/>
      <c r="F107" s="21" t="n"/>
      <c r="G107" s="24" t="n"/>
      <c r="H107" s="18" t="n"/>
      <c r="I107" s="21">
        <f>IF(OR(B107="完成",D107=""),"",IF(TODAY()&gt;D107,"逾期",""))</f>
        <v/>
      </c>
      <c r="J107" s="25">
        <f>IF(D107="","",D107-TODAY())</f>
        <v/>
      </c>
    </row>
    <row r="108">
      <c r="A108" s="21" t="n"/>
      <c r="B108" s="21" t="n"/>
      <c r="C108" s="21" t="n"/>
      <c r="D108" s="18" t="n"/>
      <c r="E108" s="21" t="n"/>
      <c r="F108" s="21" t="n"/>
      <c r="G108" s="24" t="n"/>
      <c r="H108" s="18" t="n"/>
      <c r="I108" s="21">
        <f>IF(OR(B108="完成",D108=""),"",IF(TODAY()&gt;D108,"逾期",""))</f>
        <v/>
      </c>
      <c r="J108" s="25">
        <f>IF(D108="","",D108-TODAY())</f>
        <v/>
      </c>
    </row>
    <row r="109">
      <c r="A109" s="21" t="n"/>
      <c r="B109" s="21" t="n"/>
      <c r="C109" s="21" t="n"/>
      <c r="D109" s="18" t="n"/>
      <c r="E109" s="21" t="n"/>
      <c r="F109" s="21" t="n"/>
      <c r="G109" s="24" t="n"/>
      <c r="H109" s="18" t="n"/>
      <c r="I109" s="21">
        <f>IF(OR(B109="完成",D109=""),"",IF(TODAY()&gt;D109,"逾期",""))</f>
        <v/>
      </c>
      <c r="J109" s="25">
        <f>IF(D109="","",D109-TODAY())</f>
        <v/>
      </c>
    </row>
    <row r="110">
      <c r="A110" s="21" t="n"/>
      <c r="B110" s="21" t="n"/>
      <c r="C110" s="21" t="n"/>
      <c r="D110" s="18" t="n"/>
      <c r="E110" s="21" t="n"/>
      <c r="F110" s="21" t="n"/>
      <c r="G110" s="24" t="n"/>
      <c r="H110" s="18" t="n"/>
      <c r="I110" s="21">
        <f>IF(OR(B110="完成",D110=""),"",IF(TODAY()&gt;D110,"逾期",""))</f>
        <v/>
      </c>
      <c r="J110" s="25">
        <f>IF(D110="","",D110-TODAY())</f>
        <v/>
      </c>
    </row>
    <row r="111">
      <c r="A111" s="21" t="n"/>
      <c r="B111" s="21" t="n"/>
      <c r="C111" s="21" t="n"/>
      <c r="D111" s="18" t="n"/>
      <c r="E111" s="21" t="n"/>
      <c r="F111" s="21" t="n"/>
      <c r="G111" s="24" t="n"/>
      <c r="H111" s="18" t="n"/>
      <c r="I111" s="21">
        <f>IF(OR(B111="完成",D111=""),"",IF(TODAY()&gt;D111,"逾期",""))</f>
        <v/>
      </c>
      <c r="J111" s="25">
        <f>IF(D111="","",D111-TODAY())</f>
        <v/>
      </c>
    </row>
    <row r="112">
      <c r="A112" s="21" t="n"/>
      <c r="B112" s="21" t="n"/>
      <c r="C112" s="21" t="n"/>
      <c r="D112" s="18" t="n"/>
      <c r="E112" s="21" t="n"/>
      <c r="F112" s="21" t="n"/>
      <c r="G112" s="24" t="n"/>
      <c r="H112" s="18" t="n"/>
      <c r="I112" s="21">
        <f>IF(OR(B112="完成",D112=""),"",IF(TODAY()&gt;D112,"逾期",""))</f>
        <v/>
      </c>
      <c r="J112" s="25">
        <f>IF(D112="","",D112-TODAY())</f>
        <v/>
      </c>
    </row>
    <row r="113">
      <c r="A113" s="21" t="n"/>
      <c r="B113" s="21" t="n"/>
      <c r="C113" s="21" t="n"/>
      <c r="D113" s="18" t="n"/>
      <c r="E113" s="21" t="n"/>
      <c r="F113" s="21" t="n"/>
      <c r="G113" s="24" t="n"/>
      <c r="H113" s="18" t="n"/>
      <c r="I113" s="21">
        <f>IF(OR(B113="完成",D113=""),"",IF(TODAY()&gt;D113,"逾期",""))</f>
        <v/>
      </c>
      <c r="J113" s="25">
        <f>IF(D113="","",D113-TODAY())</f>
        <v/>
      </c>
    </row>
    <row r="114">
      <c r="A114" s="21" t="n"/>
      <c r="B114" s="21" t="n"/>
      <c r="C114" s="21" t="n"/>
      <c r="D114" s="18" t="n"/>
      <c r="E114" s="21" t="n"/>
      <c r="F114" s="21" t="n"/>
      <c r="G114" s="24" t="n"/>
      <c r="H114" s="18" t="n"/>
      <c r="I114" s="21">
        <f>IF(OR(B114="完成",D114=""),"",IF(TODAY()&gt;D114,"逾期",""))</f>
        <v/>
      </c>
      <c r="J114" s="25">
        <f>IF(D114="","",D114-TODAY())</f>
        <v/>
      </c>
    </row>
    <row r="115">
      <c r="A115" s="21" t="n"/>
      <c r="B115" s="21" t="n"/>
      <c r="C115" s="21" t="n"/>
      <c r="D115" s="18" t="n"/>
      <c r="E115" s="21" t="n"/>
      <c r="F115" s="21" t="n"/>
      <c r="G115" s="24" t="n"/>
      <c r="H115" s="18" t="n"/>
      <c r="I115" s="21">
        <f>IF(OR(B115="完成",D115=""),"",IF(TODAY()&gt;D115,"逾期",""))</f>
        <v/>
      </c>
      <c r="J115" s="25">
        <f>IF(D115="","",D115-TODAY())</f>
        <v/>
      </c>
    </row>
    <row r="116">
      <c r="A116" s="21" t="n"/>
      <c r="B116" s="21" t="n"/>
      <c r="C116" s="21" t="n"/>
      <c r="D116" s="18" t="n"/>
      <c r="E116" s="21" t="n"/>
      <c r="F116" s="21" t="n"/>
      <c r="G116" s="24" t="n"/>
      <c r="H116" s="18" t="n"/>
      <c r="I116" s="21">
        <f>IF(OR(B116="完成",D116=""),"",IF(TODAY()&gt;D116,"逾期",""))</f>
        <v/>
      </c>
      <c r="J116" s="25">
        <f>IF(D116="","",D116-TODAY())</f>
        <v/>
      </c>
    </row>
    <row r="117">
      <c r="A117" s="21" t="n"/>
      <c r="B117" s="21" t="n"/>
      <c r="C117" s="21" t="n"/>
      <c r="D117" s="18" t="n"/>
      <c r="E117" s="21" t="n"/>
      <c r="F117" s="21" t="n"/>
      <c r="G117" s="24" t="n"/>
      <c r="H117" s="18" t="n"/>
      <c r="I117" s="21">
        <f>IF(OR(B117="完成",D117=""),"",IF(TODAY()&gt;D117,"逾期",""))</f>
        <v/>
      </c>
      <c r="J117" s="25">
        <f>IF(D117="","",D117-TODAY())</f>
        <v/>
      </c>
    </row>
    <row r="118">
      <c r="A118" s="21" t="n"/>
      <c r="B118" s="21" t="n"/>
      <c r="C118" s="21" t="n"/>
      <c r="D118" s="18" t="n"/>
      <c r="E118" s="21" t="n"/>
      <c r="F118" s="21" t="n"/>
      <c r="G118" s="24" t="n"/>
      <c r="H118" s="18" t="n"/>
      <c r="I118" s="21">
        <f>IF(OR(B118="完成",D118=""),"",IF(TODAY()&gt;D118,"逾期",""))</f>
        <v/>
      </c>
      <c r="J118" s="25">
        <f>IF(D118="","",D118-TODAY())</f>
        <v/>
      </c>
    </row>
    <row r="119">
      <c r="A119" s="21" t="n"/>
      <c r="B119" s="21" t="n"/>
      <c r="C119" s="21" t="n"/>
      <c r="D119" s="18" t="n"/>
      <c r="E119" s="21" t="n"/>
      <c r="F119" s="21" t="n"/>
      <c r="G119" s="24" t="n"/>
      <c r="H119" s="18" t="n"/>
      <c r="I119" s="21">
        <f>IF(OR(B119="完成",D119=""),"",IF(TODAY()&gt;D119,"逾期",""))</f>
        <v/>
      </c>
      <c r="J119" s="25">
        <f>IF(D119="","",D119-TODAY())</f>
        <v/>
      </c>
    </row>
    <row r="120">
      <c r="A120" s="21" t="n"/>
      <c r="B120" s="21" t="n"/>
      <c r="C120" s="21" t="n"/>
      <c r="D120" s="18" t="n"/>
      <c r="E120" s="21" t="n"/>
      <c r="F120" s="21" t="n"/>
      <c r="G120" s="24" t="n"/>
      <c r="H120" s="18" t="n"/>
      <c r="I120" s="21">
        <f>IF(OR(B120="完成",D120=""),"",IF(TODAY()&gt;D120,"逾期",""))</f>
        <v/>
      </c>
      <c r="J120" s="25">
        <f>IF(D120="","",D120-TODAY())</f>
        <v/>
      </c>
    </row>
    <row r="121">
      <c r="A121" s="21" t="n"/>
      <c r="B121" s="21" t="n"/>
      <c r="C121" s="21" t="n"/>
      <c r="D121" s="18" t="n"/>
      <c r="E121" s="21" t="n"/>
      <c r="F121" s="21" t="n"/>
      <c r="G121" s="24" t="n"/>
      <c r="H121" s="18" t="n"/>
      <c r="I121" s="21">
        <f>IF(OR(B121="完成",D121=""),"",IF(TODAY()&gt;D121,"逾期",""))</f>
        <v/>
      </c>
      <c r="J121" s="25">
        <f>IF(D121="","",D121-TODAY())</f>
        <v/>
      </c>
    </row>
    <row r="122">
      <c r="A122" s="21" t="n"/>
      <c r="B122" s="21" t="n"/>
      <c r="C122" s="21" t="n"/>
      <c r="D122" s="18" t="n"/>
      <c r="E122" s="21" t="n"/>
      <c r="F122" s="21" t="n"/>
      <c r="G122" s="24" t="n"/>
      <c r="H122" s="18" t="n"/>
      <c r="I122" s="21">
        <f>IF(OR(B122="完成",D122=""),"",IF(TODAY()&gt;D122,"逾期",""))</f>
        <v/>
      </c>
      <c r="J122" s="25">
        <f>IF(D122="","",D122-TODAY())</f>
        <v/>
      </c>
    </row>
    <row r="123">
      <c r="A123" s="21" t="n"/>
      <c r="B123" s="21" t="n"/>
      <c r="C123" s="21" t="n"/>
      <c r="D123" s="18" t="n"/>
      <c r="E123" s="21" t="n"/>
      <c r="F123" s="21" t="n"/>
      <c r="G123" s="24" t="n"/>
      <c r="H123" s="18" t="n"/>
      <c r="I123" s="21">
        <f>IF(OR(B123="完成",D123=""),"",IF(TODAY()&gt;D123,"逾期",""))</f>
        <v/>
      </c>
      <c r="J123" s="25">
        <f>IF(D123="","",D123-TODAY())</f>
        <v/>
      </c>
    </row>
    <row r="124">
      <c r="A124" s="21" t="n"/>
      <c r="B124" s="21" t="n"/>
      <c r="C124" s="21" t="n"/>
      <c r="D124" s="18" t="n"/>
      <c r="E124" s="21" t="n"/>
      <c r="F124" s="21" t="n"/>
      <c r="G124" s="24" t="n"/>
      <c r="H124" s="18" t="n"/>
      <c r="I124" s="21">
        <f>IF(OR(B124="完成",D124=""),"",IF(TODAY()&gt;D124,"逾期",""))</f>
        <v/>
      </c>
      <c r="J124" s="25">
        <f>IF(D124="","",D124-TODAY())</f>
        <v/>
      </c>
    </row>
    <row r="125">
      <c r="A125" s="21" t="n"/>
      <c r="B125" s="21" t="n"/>
      <c r="C125" s="21" t="n"/>
      <c r="D125" s="18" t="n"/>
      <c r="E125" s="21" t="n"/>
      <c r="F125" s="21" t="n"/>
      <c r="G125" s="24" t="n"/>
      <c r="H125" s="18" t="n"/>
      <c r="I125" s="21">
        <f>IF(OR(B125="完成",D125=""),"",IF(TODAY()&gt;D125,"逾期",""))</f>
        <v/>
      </c>
      <c r="J125" s="25">
        <f>IF(D125="","",D125-TODAY())</f>
        <v/>
      </c>
    </row>
    <row r="126">
      <c r="A126" s="21" t="n"/>
      <c r="B126" s="21" t="n"/>
      <c r="C126" s="21" t="n"/>
      <c r="D126" s="18" t="n"/>
      <c r="E126" s="21" t="n"/>
      <c r="F126" s="21" t="n"/>
      <c r="G126" s="24" t="n"/>
      <c r="H126" s="18" t="n"/>
      <c r="I126" s="21">
        <f>IF(OR(B126="完成",D126=""),"",IF(TODAY()&gt;D126,"逾期",""))</f>
        <v/>
      </c>
      <c r="J126" s="25">
        <f>IF(D126="","",D126-TODAY())</f>
        <v/>
      </c>
    </row>
    <row r="127">
      <c r="A127" s="21" t="n"/>
      <c r="B127" s="21" t="n"/>
      <c r="C127" s="21" t="n"/>
      <c r="D127" s="18" t="n"/>
      <c r="E127" s="21" t="n"/>
      <c r="F127" s="21" t="n"/>
      <c r="G127" s="24" t="n"/>
      <c r="H127" s="18" t="n"/>
      <c r="I127" s="21">
        <f>IF(OR(B127="完成",D127=""),"",IF(TODAY()&gt;D127,"逾期",""))</f>
        <v/>
      </c>
      <c r="J127" s="25">
        <f>IF(D127="","",D127-TODAY())</f>
        <v/>
      </c>
    </row>
    <row r="128">
      <c r="A128" s="21" t="n"/>
      <c r="B128" s="21" t="n"/>
      <c r="C128" s="21" t="n"/>
      <c r="D128" s="18" t="n"/>
      <c r="E128" s="21" t="n"/>
      <c r="F128" s="21" t="n"/>
      <c r="G128" s="24" t="n"/>
      <c r="H128" s="18" t="n"/>
      <c r="I128" s="21">
        <f>IF(OR(B128="完成",D128=""),"",IF(TODAY()&gt;D128,"逾期",""))</f>
        <v/>
      </c>
      <c r="J128" s="25">
        <f>IF(D128="","",D128-TODAY())</f>
        <v/>
      </c>
    </row>
    <row r="129">
      <c r="A129" s="21" t="n"/>
      <c r="B129" s="21" t="n"/>
      <c r="C129" s="21" t="n"/>
      <c r="D129" s="18" t="n"/>
      <c r="E129" s="21" t="n"/>
      <c r="F129" s="21" t="n"/>
      <c r="G129" s="24" t="n"/>
      <c r="H129" s="18" t="n"/>
      <c r="I129" s="21">
        <f>IF(OR(B129="完成",D129=""),"",IF(TODAY()&gt;D129,"逾期",""))</f>
        <v/>
      </c>
      <c r="J129" s="25">
        <f>IF(D129="","",D129-TODAY())</f>
        <v/>
      </c>
    </row>
    <row r="130">
      <c r="A130" s="21" t="n"/>
      <c r="B130" s="21" t="n"/>
      <c r="C130" s="21" t="n"/>
      <c r="D130" s="18" t="n"/>
      <c r="E130" s="21" t="n"/>
      <c r="F130" s="21" t="n"/>
      <c r="G130" s="24" t="n"/>
      <c r="H130" s="18" t="n"/>
      <c r="I130" s="21">
        <f>IF(OR(B130="完成",D130=""),"",IF(TODAY()&gt;D130,"逾期",""))</f>
        <v/>
      </c>
      <c r="J130" s="25">
        <f>IF(D130="","",D130-TODAY())</f>
        <v/>
      </c>
    </row>
    <row r="131">
      <c r="A131" s="21" t="n"/>
      <c r="B131" s="21" t="n"/>
      <c r="C131" s="21" t="n"/>
      <c r="D131" s="18" t="n"/>
      <c r="E131" s="21" t="n"/>
      <c r="F131" s="21" t="n"/>
      <c r="G131" s="24" t="n"/>
      <c r="H131" s="18" t="n"/>
      <c r="I131" s="21">
        <f>IF(OR(B131="完成",D131=""),"",IF(TODAY()&gt;D131,"逾期",""))</f>
        <v/>
      </c>
      <c r="J131" s="25">
        <f>IF(D131="","",D131-TODAY())</f>
        <v/>
      </c>
    </row>
    <row r="132">
      <c r="A132" s="21" t="n"/>
      <c r="B132" s="21" t="n"/>
      <c r="C132" s="21" t="n"/>
      <c r="D132" s="18" t="n"/>
      <c r="E132" s="21" t="n"/>
      <c r="F132" s="21" t="n"/>
      <c r="G132" s="24" t="n"/>
      <c r="H132" s="18" t="n"/>
      <c r="I132" s="21">
        <f>IF(OR(B132="完成",D132=""),"",IF(TODAY()&gt;D132,"逾期",""))</f>
        <v/>
      </c>
      <c r="J132" s="25">
        <f>IF(D132="","",D132-TODAY())</f>
        <v/>
      </c>
    </row>
    <row r="133">
      <c r="A133" s="21" t="n"/>
      <c r="B133" s="21" t="n"/>
      <c r="C133" s="21" t="n"/>
      <c r="D133" s="18" t="n"/>
      <c r="E133" s="21" t="n"/>
      <c r="F133" s="21" t="n"/>
      <c r="G133" s="24" t="n"/>
      <c r="H133" s="18" t="n"/>
      <c r="I133" s="21">
        <f>IF(OR(B133="完成",D133=""),"",IF(TODAY()&gt;D133,"逾期",""))</f>
        <v/>
      </c>
      <c r="J133" s="25">
        <f>IF(D133="","",D133-TODAY())</f>
        <v/>
      </c>
    </row>
    <row r="134">
      <c r="A134" s="21" t="n"/>
      <c r="B134" s="21" t="n"/>
      <c r="C134" s="21" t="n"/>
      <c r="D134" s="18" t="n"/>
      <c r="E134" s="21" t="n"/>
      <c r="F134" s="21" t="n"/>
      <c r="G134" s="24" t="n"/>
      <c r="H134" s="18" t="n"/>
      <c r="I134" s="21">
        <f>IF(OR(B134="完成",D134=""),"",IF(TODAY()&gt;D134,"逾期",""))</f>
        <v/>
      </c>
      <c r="J134" s="25">
        <f>IF(D134="","",D134-TODAY())</f>
        <v/>
      </c>
    </row>
    <row r="135">
      <c r="A135" s="21" t="n"/>
      <c r="B135" s="21" t="n"/>
      <c r="C135" s="21" t="n"/>
      <c r="D135" s="18" t="n"/>
      <c r="E135" s="21" t="n"/>
      <c r="F135" s="21" t="n"/>
      <c r="G135" s="24" t="n"/>
      <c r="H135" s="18" t="n"/>
      <c r="I135" s="21">
        <f>IF(OR(B135="完成",D135=""),"",IF(TODAY()&gt;D135,"逾期",""))</f>
        <v/>
      </c>
      <c r="J135" s="25">
        <f>IF(D135="","",D135-TODAY())</f>
        <v/>
      </c>
    </row>
    <row r="136">
      <c r="A136" s="21" t="n"/>
      <c r="B136" s="21" t="n"/>
      <c r="C136" s="21" t="n"/>
      <c r="D136" s="18" t="n"/>
      <c r="E136" s="21" t="n"/>
      <c r="F136" s="21" t="n"/>
      <c r="G136" s="24" t="n"/>
      <c r="H136" s="18" t="n"/>
      <c r="I136" s="21">
        <f>IF(OR(B136="完成",D136=""),"",IF(TODAY()&gt;D136,"逾期",""))</f>
        <v/>
      </c>
      <c r="J136" s="25">
        <f>IF(D136="","",D136-TODAY())</f>
        <v/>
      </c>
    </row>
    <row r="137">
      <c r="A137" s="21" t="n"/>
      <c r="B137" s="21" t="n"/>
      <c r="C137" s="21" t="n"/>
      <c r="D137" s="18" t="n"/>
      <c r="E137" s="21" t="n"/>
      <c r="F137" s="21" t="n"/>
      <c r="G137" s="24" t="n"/>
      <c r="H137" s="18" t="n"/>
      <c r="I137" s="21">
        <f>IF(OR(B137="完成",D137=""),"",IF(TODAY()&gt;D137,"逾期",""))</f>
        <v/>
      </c>
      <c r="J137" s="25">
        <f>IF(D137="","",D137-TODAY())</f>
        <v/>
      </c>
    </row>
    <row r="138">
      <c r="A138" s="21" t="n"/>
      <c r="B138" s="21" t="n"/>
      <c r="C138" s="21" t="n"/>
      <c r="D138" s="18" t="n"/>
      <c r="E138" s="21" t="n"/>
      <c r="F138" s="21" t="n"/>
      <c r="G138" s="24" t="n"/>
      <c r="H138" s="18" t="n"/>
      <c r="I138" s="21">
        <f>IF(OR(B138="完成",D138=""),"",IF(TODAY()&gt;D138,"逾期",""))</f>
        <v/>
      </c>
      <c r="J138" s="25">
        <f>IF(D138="","",D138-TODAY())</f>
        <v/>
      </c>
    </row>
    <row r="139">
      <c r="A139" s="21" t="n"/>
      <c r="B139" s="21" t="n"/>
      <c r="C139" s="21" t="n"/>
      <c r="D139" s="18" t="n"/>
      <c r="E139" s="21" t="n"/>
      <c r="F139" s="21" t="n"/>
      <c r="G139" s="24" t="n"/>
      <c r="H139" s="18" t="n"/>
      <c r="I139" s="21">
        <f>IF(OR(B139="完成",D139=""),"",IF(TODAY()&gt;D139,"逾期",""))</f>
        <v/>
      </c>
      <c r="J139" s="25">
        <f>IF(D139="","",D139-TODAY())</f>
        <v/>
      </c>
    </row>
    <row r="140">
      <c r="A140" s="21" t="n"/>
      <c r="B140" s="21" t="n"/>
      <c r="C140" s="21" t="n"/>
      <c r="D140" s="18" t="n"/>
      <c r="E140" s="21" t="n"/>
      <c r="F140" s="21" t="n"/>
      <c r="G140" s="24" t="n"/>
      <c r="H140" s="18" t="n"/>
      <c r="I140" s="21">
        <f>IF(OR(B140="完成",D140=""),"",IF(TODAY()&gt;D140,"逾期",""))</f>
        <v/>
      </c>
      <c r="J140" s="25">
        <f>IF(D140="","",D140-TODAY())</f>
        <v/>
      </c>
    </row>
    <row r="141">
      <c r="A141" s="21" t="n"/>
      <c r="B141" s="21" t="n"/>
      <c r="C141" s="21" t="n"/>
      <c r="D141" s="18" t="n"/>
      <c r="E141" s="21" t="n"/>
      <c r="F141" s="21" t="n"/>
      <c r="G141" s="24" t="n"/>
      <c r="H141" s="18" t="n"/>
      <c r="I141" s="21">
        <f>IF(OR(B141="完成",D141=""),"",IF(TODAY()&gt;D141,"逾期",""))</f>
        <v/>
      </c>
      <c r="J141" s="25">
        <f>IF(D141="","",D141-TODAY())</f>
        <v/>
      </c>
    </row>
    <row r="142">
      <c r="A142" s="21" t="n"/>
      <c r="B142" s="21" t="n"/>
      <c r="C142" s="21" t="n"/>
      <c r="D142" s="18" t="n"/>
      <c r="E142" s="21" t="n"/>
      <c r="F142" s="21" t="n"/>
      <c r="G142" s="24" t="n"/>
      <c r="H142" s="18" t="n"/>
      <c r="I142" s="21">
        <f>IF(OR(B142="完成",D142=""),"",IF(TODAY()&gt;D142,"逾期",""))</f>
        <v/>
      </c>
      <c r="J142" s="25">
        <f>IF(D142="","",D142-TODAY())</f>
        <v/>
      </c>
    </row>
    <row r="143">
      <c r="A143" s="21" t="n"/>
      <c r="B143" s="21" t="n"/>
      <c r="C143" s="21" t="n"/>
      <c r="D143" s="18" t="n"/>
      <c r="E143" s="21" t="n"/>
      <c r="F143" s="21" t="n"/>
      <c r="G143" s="24" t="n"/>
      <c r="H143" s="18" t="n"/>
      <c r="I143" s="21">
        <f>IF(OR(B143="完成",D143=""),"",IF(TODAY()&gt;D143,"逾期",""))</f>
        <v/>
      </c>
      <c r="J143" s="25">
        <f>IF(D143="","",D143-TODAY())</f>
        <v/>
      </c>
    </row>
    <row r="144">
      <c r="A144" s="21" t="n"/>
      <c r="B144" s="21" t="n"/>
      <c r="C144" s="21" t="n"/>
      <c r="D144" s="18" t="n"/>
      <c r="E144" s="21" t="n"/>
      <c r="F144" s="21" t="n"/>
      <c r="G144" s="24" t="n"/>
      <c r="H144" s="18" t="n"/>
      <c r="I144" s="21">
        <f>IF(OR(B144="完成",D144=""),"",IF(TODAY()&gt;D144,"逾期",""))</f>
        <v/>
      </c>
      <c r="J144" s="25">
        <f>IF(D144="","",D144-TODAY())</f>
        <v/>
      </c>
    </row>
    <row r="145">
      <c r="A145" s="21" t="n"/>
      <c r="B145" s="21" t="n"/>
      <c r="C145" s="21" t="n"/>
      <c r="D145" s="18" t="n"/>
      <c r="E145" s="21" t="n"/>
      <c r="F145" s="21" t="n"/>
      <c r="G145" s="24" t="n"/>
      <c r="H145" s="18" t="n"/>
      <c r="I145" s="21">
        <f>IF(OR(B145="完成",D145=""),"",IF(TODAY()&gt;D145,"逾期",""))</f>
        <v/>
      </c>
      <c r="J145" s="25">
        <f>IF(D145="","",D145-TODAY())</f>
        <v/>
      </c>
    </row>
    <row r="146">
      <c r="A146" s="21" t="n"/>
      <c r="B146" s="21" t="n"/>
      <c r="C146" s="21" t="n"/>
      <c r="D146" s="18" t="n"/>
      <c r="E146" s="21" t="n"/>
      <c r="F146" s="21" t="n"/>
      <c r="G146" s="24" t="n"/>
      <c r="H146" s="18" t="n"/>
      <c r="I146" s="21">
        <f>IF(OR(B146="完成",D146=""),"",IF(TODAY()&gt;D146,"逾期",""))</f>
        <v/>
      </c>
      <c r="J146" s="25">
        <f>IF(D146="","",D146-TODAY())</f>
        <v/>
      </c>
    </row>
    <row r="147">
      <c r="A147" s="21" t="n"/>
      <c r="B147" s="21" t="n"/>
      <c r="C147" s="21" t="n"/>
      <c r="D147" s="18" t="n"/>
      <c r="E147" s="21" t="n"/>
      <c r="F147" s="21" t="n"/>
      <c r="G147" s="24" t="n"/>
      <c r="H147" s="18" t="n"/>
      <c r="I147" s="21">
        <f>IF(OR(B147="完成",D147=""),"",IF(TODAY()&gt;D147,"逾期",""))</f>
        <v/>
      </c>
      <c r="J147" s="25">
        <f>IF(D147="","",D147-TODAY())</f>
        <v/>
      </c>
    </row>
    <row r="148">
      <c r="A148" s="21" t="n"/>
      <c r="B148" s="21" t="n"/>
      <c r="C148" s="21" t="n"/>
      <c r="D148" s="18" t="n"/>
      <c r="E148" s="21" t="n"/>
      <c r="F148" s="21" t="n"/>
      <c r="G148" s="24" t="n"/>
      <c r="H148" s="18" t="n"/>
      <c r="I148" s="21">
        <f>IF(OR(B148="完成",D148=""),"",IF(TODAY()&gt;D148,"逾期",""))</f>
        <v/>
      </c>
      <c r="J148" s="25">
        <f>IF(D148="","",D148-TODAY())</f>
        <v/>
      </c>
    </row>
    <row r="149">
      <c r="A149" s="21" t="n"/>
      <c r="B149" s="21" t="n"/>
      <c r="C149" s="21" t="n"/>
      <c r="D149" s="18" t="n"/>
      <c r="E149" s="21" t="n"/>
      <c r="F149" s="21" t="n"/>
      <c r="G149" s="24" t="n"/>
      <c r="H149" s="18" t="n"/>
      <c r="I149" s="21">
        <f>IF(OR(B149="完成",D149=""),"",IF(TODAY()&gt;D149,"逾期",""))</f>
        <v/>
      </c>
      <c r="J149" s="25">
        <f>IF(D149="","",D149-TODAY())</f>
        <v/>
      </c>
    </row>
    <row r="150">
      <c r="A150" s="21" t="n"/>
      <c r="B150" s="21" t="n"/>
      <c r="C150" s="21" t="n"/>
      <c r="D150" s="18" t="n"/>
      <c r="E150" s="21" t="n"/>
      <c r="F150" s="21" t="n"/>
      <c r="G150" s="24" t="n"/>
      <c r="H150" s="18" t="n"/>
      <c r="I150" s="21">
        <f>IF(OR(B150="完成",D150=""),"",IF(TODAY()&gt;D150,"逾期",""))</f>
        <v/>
      </c>
      <c r="J150" s="25">
        <f>IF(D150="","",D150-TODAY())</f>
        <v/>
      </c>
    </row>
    <row r="151">
      <c r="A151" s="21" t="n"/>
      <c r="B151" s="21" t="n"/>
      <c r="C151" s="21" t="n"/>
      <c r="D151" s="18" t="n"/>
      <c r="E151" s="21" t="n"/>
      <c r="F151" s="21" t="n"/>
      <c r="G151" s="24" t="n"/>
      <c r="H151" s="18" t="n"/>
      <c r="I151" s="21">
        <f>IF(OR(B151="完成",D151=""),"",IF(TODAY()&gt;D151,"逾期",""))</f>
        <v/>
      </c>
      <c r="J151" s="25">
        <f>IF(D151="","",D151-TODAY())</f>
        <v/>
      </c>
    </row>
    <row r="152">
      <c r="A152" s="21" t="n"/>
      <c r="B152" s="21" t="n"/>
      <c r="C152" s="21" t="n"/>
      <c r="D152" s="18" t="n"/>
      <c r="E152" s="21" t="n"/>
      <c r="F152" s="21" t="n"/>
      <c r="G152" s="24" t="n"/>
      <c r="H152" s="18" t="n"/>
      <c r="I152" s="21">
        <f>IF(OR(B152="完成",D152=""),"",IF(TODAY()&gt;D152,"逾期",""))</f>
        <v/>
      </c>
      <c r="J152" s="25">
        <f>IF(D152="","",D152-TODAY())</f>
        <v/>
      </c>
    </row>
    <row r="153">
      <c r="A153" s="21" t="n"/>
      <c r="B153" s="21" t="n"/>
      <c r="C153" s="21" t="n"/>
      <c r="D153" s="18" t="n"/>
      <c r="E153" s="21" t="n"/>
      <c r="F153" s="21" t="n"/>
      <c r="G153" s="24" t="n"/>
      <c r="H153" s="18" t="n"/>
      <c r="I153" s="21">
        <f>IF(OR(B153="完成",D153=""),"",IF(TODAY()&gt;D153,"逾期",""))</f>
        <v/>
      </c>
      <c r="J153" s="25">
        <f>IF(D153="","",D153-TODAY())</f>
        <v/>
      </c>
    </row>
    <row r="154">
      <c r="A154" s="21" t="n"/>
      <c r="B154" s="21" t="n"/>
      <c r="C154" s="21" t="n"/>
      <c r="D154" s="18" t="n"/>
      <c r="E154" s="21" t="n"/>
      <c r="F154" s="21" t="n"/>
      <c r="G154" s="24" t="n"/>
      <c r="H154" s="18" t="n"/>
      <c r="I154" s="21">
        <f>IF(OR(B154="完成",D154=""),"",IF(TODAY()&gt;D154,"逾期",""))</f>
        <v/>
      </c>
      <c r="J154" s="25">
        <f>IF(D154="","",D154-TODAY())</f>
        <v/>
      </c>
    </row>
    <row r="155">
      <c r="A155" s="21" t="n"/>
      <c r="B155" s="21" t="n"/>
      <c r="C155" s="21" t="n"/>
      <c r="D155" s="18" t="n"/>
      <c r="E155" s="21" t="n"/>
      <c r="F155" s="21" t="n"/>
      <c r="G155" s="24" t="n"/>
      <c r="H155" s="18" t="n"/>
      <c r="I155" s="21">
        <f>IF(OR(B155="完成",D155=""),"",IF(TODAY()&gt;D155,"逾期",""))</f>
        <v/>
      </c>
      <c r="J155" s="25">
        <f>IF(D155="","",D155-TODAY())</f>
        <v/>
      </c>
    </row>
    <row r="156">
      <c r="A156" s="21" t="n"/>
      <c r="B156" s="21" t="n"/>
      <c r="C156" s="21" t="n"/>
      <c r="D156" s="18" t="n"/>
      <c r="E156" s="21" t="n"/>
      <c r="F156" s="21" t="n"/>
      <c r="G156" s="24" t="n"/>
      <c r="H156" s="18" t="n"/>
      <c r="I156" s="21">
        <f>IF(OR(B156="完成",D156=""),"",IF(TODAY()&gt;D156,"逾期",""))</f>
        <v/>
      </c>
      <c r="J156" s="25">
        <f>IF(D156="","",D156-TODAY())</f>
        <v/>
      </c>
    </row>
    <row r="157">
      <c r="A157" s="21" t="n"/>
      <c r="B157" s="21" t="n"/>
      <c r="C157" s="21" t="n"/>
      <c r="D157" s="18" t="n"/>
      <c r="E157" s="21" t="n"/>
      <c r="F157" s="21" t="n"/>
      <c r="G157" s="24" t="n"/>
      <c r="H157" s="18" t="n"/>
      <c r="I157" s="21">
        <f>IF(OR(B157="完成",D157=""),"",IF(TODAY()&gt;D157,"逾期",""))</f>
        <v/>
      </c>
      <c r="J157" s="25">
        <f>IF(D157="","",D157-TODAY())</f>
        <v/>
      </c>
    </row>
    <row r="158">
      <c r="A158" s="21" t="n"/>
      <c r="B158" s="21" t="n"/>
      <c r="C158" s="21" t="n"/>
      <c r="D158" s="18" t="n"/>
      <c r="E158" s="21" t="n"/>
      <c r="F158" s="21" t="n"/>
      <c r="G158" s="24" t="n"/>
      <c r="H158" s="18" t="n"/>
      <c r="I158" s="21">
        <f>IF(OR(B158="完成",D158=""),"",IF(TODAY()&gt;D158,"逾期",""))</f>
        <v/>
      </c>
      <c r="J158" s="25">
        <f>IF(D158="","",D158-TODAY())</f>
        <v/>
      </c>
    </row>
    <row r="159">
      <c r="A159" s="21" t="n"/>
      <c r="B159" s="21" t="n"/>
      <c r="C159" s="21" t="n"/>
      <c r="D159" s="18" t="n"/>
      <c r="E159" s="21" t="n"/>
      <c r="F159" s="21" t="n"/>
      <c r="G159" s="24" t="n"/>
      <c r="H159" s="18" t="n"/>
      <c r="I159" s="21">
        <f>IF(OR(B159="完成",D159=""),"",IF(TODAY()&gt;D159,"逾期",""))</f>
        <v/>
      </c>
      <c r="J159" s="25">
        <f>IF(D159="","",D159-TODAY())</f>
        <v/>
      </c>
    </row>
    <row r="160">
      <c r="A160" s="21" t="n"/>
      <c r="B160" s="21" t="n"/>
      <c r="C160" s="21" t="n"/>
      <c r="D160" s="18" t="n"/>
      <c r="E160" s="21" t="n"/>
      <c r="F160" s="21" t="n"/>
      <c r="G160" s="24" t="n"/>
      <c r="H160" s="18" t="n"/>
      <c r="I160" s="21">
        <f>IF(OR(B160="完成",D160=""),"",IF(TODAY()&gt;D160,"逾期",""))</f>
        <v/>
      </c>
      <c r="J160" s="25">
        <f>IF(D160="","",D160-TODAY())</f>
        <v/>
      </c>
    </row>
    <row r="161">
      <c r="A161" s="21" t="n"/>
      <c r="B161" s="21" t="n"/>
      <c r="C161" s="21" t="n"/>
      <c r="D161" s="18" t="n"/>
      <c r="E161" s="21" t="n"/>
      <c r="F161" s="21" t="n"/>
      <c r="G161" s="24" t="n"/>
      <c r="H161" s="18" t="n"/>
      <c r="I161" s="21">
        <f>IF(OR(B161="完成",D161=""),"",IF(TODAY()&gt;D161,"逾期",""))</f>
        <v/>
      </c>
      <c r="J161" s="25">
        <f>IF(D161="","",D161-TODAY())</f>
        <v/>
      </c>
    </row>
    <row r="162">
      <c r="A162" s="21" t="n"/>
      <c r="B162" s="21" t="n"/>
      <c r="C162" s="21" t="n"/>
      <c r="D162" s="18" t="n"/>
      <c r="E162" s="21" t="n"/>
      <c r="F162" s="21" t="n"/>
      <c r="G162" s="24" t="n"/>
      <c r="H162" s="18" t="n"/>
      <c r="I162" s="21">
        <f>IF(OR(B162="完成",D162=""),"",IF(TODAY()&gt;D162,"逾期",""))</f>
        <v/>
      </c>
      <c r="J162" s="25">
        <f>IF(D162="","",D162-TODAY())</f>
        <v/>
      </c>
    </row>
    <row r="163">
      <c r="A163" s="21" t="n"/>
      <c r="B163" s="21" t="n"/>
      <c r="C163" s="21" t="n"/>
      <c r="D163" s="18" t="n"/>
      <c r="E163" s="21" t="n"/>
      <c r="F163" s="21" t="n"/>
      <c r="G163" s="24" t="n"/>
      <c r="H163" s="18" t="n"/>
      <c r="I163" s="21">
        <f>IF(OR(B163="完成",D163=""),"",IF(TODAY()&gt;D163,"逾期",""))</f>
        <v/>
      </c>
      <c r="J163" s="25">
        <f>IF(D163="","",D163-TODAY())</f>
        <v/>
      </c>
    </row>
    <row r="164">
      <c r="A164" s="21" t="n"/>
      <c r="B164" s="21" t="n"/>
      <c r="C164" s="21" t="n"/>
      <c r="D164" s="18" t="n"/>
      <c r="E164" s="21" t="n"/>
      <c r="F164" s="21" t="n"/>
      <c r="G164" s="24" t="n"/>
      <c r="H164" s="18" t="n"/>
      <c r="I164" s="21">
        <f>IF(OR(B164="完成",D164=""),"",IF(TODAY()&gt;D164,"逾期",""))</f>
        <v/>
      </c>
      <c r="J164" s="25">
        <f>IF(D164="","",D164-TODAY())</f>
        <v/>
      </c>
    </row>
    <row r="165">
      <c r="A165" s="21" t="n"/>
      <c r="B165" s="21" t="n"/>
      <c r="C165" s="21" t="n"/>
      <c r="D165" s="18" t="n"/>
      <c r="E165" s="21" t="n"/>
      <c r="F165" s="21" t="n"/>
      <c r="G165" s="24" t="n"/>
      <c r="H165" s="18" t="n"/>
      <c r="I165" s="21">
        <f>IF(OR(B165="完成",D165=""),"",IF(TODAY()&gt;D165,"逾期",""))</f>
        <v/>
      </c>
      <c r="J165" s="25">
        <f>IF(D165="","",D165-TODAY())</f>
        <v/>
      </c>
    </row>
    <row r="166">
      <c r="A166" s="21" t="n"/>
      <c r="B166" s="21" t="n"/>
      <c r="C166" s="21" t="n"/>
      <c r="D166" s="18" t="n"/>
      <c r="E166" s="21" t="n"/>
      <c r="F166" s="21" t="n"/>
      <c r="G166" s="24" t="n"/>
      <c r="H166" s="18" t="n"/>
      <c r="I166" s="21">
        <f>IF(OR(B166="完成",D166=""),"",IF(TODAY()&gt;D166,"逾期",""))</f>
        <v/>
      </c>
      <c r="J166" s="25">
        <f>IF(D166="","",D166-TODAY())</f>
        <v/>
      </c>
    </row>
    <row r="167">
      <c r="A167" s="21" t="n"/>
      <c r="B167" s="21" t="n"/>
      <c r="C167" s="21" t="n"/>
      <c r="D167" s="18" t="n"/>
      <c r="E167" s="21" t="n"/>
      <c r="F167" s="21" t="n"/>
      <c r="G167" s="24" t="n"/>
      <c r="H167" s="18" t="n"/>
      <c r="I167" s="21">
        <f>IF(OR(B167="完成",D167=""),"",IF(TODAY()&gt;D167,"逾期",""))</f>
        <v/>
      </c>
      <c r="J167" s="25">
        <f>IF(D167="","",D167-TODAY())</f>
        <v/>
      </c>
    </row>
    <row r="168">
      <c r="A168" s="21" t="n"/>
      <c r="B168" s="21" t="n"/>
      <c r="C168" s="21" t="n"/>
      <c r="D168" s="18" t="n"/>
      <c r="E168" s="21" t="n"/>
      <c r="F168" s="21" t="n"/>
      <c r="G168" s="24" t="n"/>
      <c r="H168" s="18" t="n"/>
      <c r="I168" s="21">
        <f>IF(OR(B168="完成",D168=""),"",IF(TODAY()&gt;D168,"逾期",""))</f>
        <v/>
      </c>
      <c r="J168" s="25">
        <f>IF(D168="","",D168-TODAY())</f>
        <v/>
      </c>
    </row>
    <row r="169">
      <c r="A169" s="21" t="n"/>
      <c r="B169" s="21" t="n"/>
      <c r="C169" s="21" t="n"/>
      <c r="D169" s="18" t="n"/>
      <c r="E169" s="21" t="n"/>
      <c r="F169" s="21" t="n"/>
      <c r="G169" s="24" t="n"/>
      <c r="H169" s="18" t="n"/>
      <c r="I169" s="21">
        <f>IF(OR(B169="完成",D169=""),"",IF(TODAY()&gt;D169,"逾期",""))</f>
        <v/>
      </c>
      <c r="J169" s="25">
        <f>IF(D169="","",D169-TODAY())</f>
        <v/>
      </c>
    </row>
    <row r="170">
      <c r="A170" s="21" t="n"/>
      <c r="B170" s="21" t="n"/>
      <c r="C170" s="21" t="n"/>
      <c r="D170" s="18" t="n"/>
      <c r="E170" s="21" t="n"/>
      <c r="F170" s="21" t="n"/>
      <c r="G170" s="24" t="n"/>
      <c r="H170" s="18" t="n"/>
      <c r="I170" s="21">
        <f>IF(OR(B170="完成",D170=""),"",IF(TODAY()&gt;D170,"逾期",""))</f>
        <v/>
      </c>
      <c r="J170" s="25">
        <f>IF(D170="","",D170-TODAY())</f>
        <v/>
      </c>
    </row>
    <row r="171">
      <c r="A171" s="21" t="n"/>
      <c r="B171" s="21" t="n"/>
      <c r="C171" s="21" t="n"/>
      <c r="D171" s="18" t="n"/>
      <c r="E171" s="21" t="n"/>
      <c r="F171" s="21" t="n"/>
      <c r="G171" s="24" t="n"/>
      <c r="H171" s="18" t="n"/>
      <c r="I171" s="21">
        <f>IF(OR(B171="完成",D171=""),"",IF(TODAY()&gt;D171,"逾期",""))</f>
        <v/>
      </c>
      <c r="J171" s="25">
        <f>IF(D171="","",D171-TODAY())</f>
        <v/>
      </c>
    </row>
    <row r="172">
      <c r="A172" s="21" t="n"/>
      <c r="B172" s="21" t="n"/>
      <c r="C172" s="21" t="n"/>
      <c r="D172" s="18" t="n"/>
      <c r="E172" s="21" t="n"/>
      <c r="F172" s="21" t="n"/>
      <c r="G172" s="24" t="n"/>
      <c r="H172" s="18" t="n"/>
      <c r="I172" s="21">
        <f>IF(OR(B172="完成",D172=""),"",IF(TODAY()&gt;D172,"逾期",""))</f>
        <v/>
      </c>
      <c r="J172" s="25">
        <f>IF(D172="","",D172-TODAY())</f>
        <v/>
      </c>
    </row>
    <row r="173">
      <c r="A173" s="21" t="n"/>
      <c r="B173" s="21" t="n"/>
      <c r="C173" s="21" t="n"/>
      <c r="D173" s="18" t="n"/>
      <c r="E173" s="21" t="n"/>
      <c r="F173" s="21" t="n"/>
      <c r="G173" s="24" t="n"/>
      <c r="H173" s="18" t="n"/>
      <c r="I173" s="21">
        <f>IF(OR(B173="完成",D173=""),"",IF(TODAY()&gt;D173,"逾期",""))</f>
        <v/>
      </c>
      <c r="J173" s="25">
        <f>IF(D173="","",D173-TODAY())</f>
        <v/>
      </c>
    </row>
    <row r="174">
      <c r="A174" s="21" t="n"/>
      <c r="B174" s="21" t="n"/>
      <c r="C174" s="21" t="n"/>
      <c r="D174" s="18" t="n"/>
      <c r="E174" s="21" t="n"/>
      <c r="F174" s="21" t="n"/>
      <c r="G174" s="24" t="n"/>
      <c r="H174" s="18" t="n"/>
      <c r="I174" s="21">
        <f>IF(OR(B174="完成",D174=""),"",IF(TODAY()&gt;D174,"逾期",""))</f>
        <v/>
      </c>
      <c r="J174" s="25">
        <f>IF(D174="","",D174-TODAY())</f>
        <v/>
      </c>
    </row>
    <row r="175">
      <c r="A175" s="21" t="n"/>
      <c r="B175" s="21" t="n"/>
      <c r="C175" s="21" t="n"/>
      <c r="D175" s="18" t="n"/>
      <c r="E175" s="21" t="n"/>
      <c r="F175" s="21" t="n"/>
      <c r="G175" s="24" t="n"/>
      <c r="H175" s="18" t="n"/>
      <c r="I175" s="21">
        <f>IF(OR(B175="完成",D175=""),"",IF(TODAY()&gt;D175,"逾期",""))</f>
        <v/>
      </c>
      <c r="J175" s="25">
        <f>IF(D175="","",D175-TODAY())</f>
        <v/>
      </c>
    </row>
    <row r="176">
      <c r="A176" s="21" t="n"/>
      <c r="B176" s="21" t="n"/>
      <c r="C176" s="21" t="n"/>
      <c r="D176" s="18" t="n"/>
      <c r="E176" s="21" t="n"/>
      <c r="F176" s="21" t="n"/>
      <c r="G176" s="24" t="n"/>
      <c r="H176" s="18" t="n"/>
      <c r="I176" s="21">
        <f>IF(OR(B176="完成",D176=""),"",IF(TODAY()&gt;D176,"逾期",""))</f>
        <v/>
      </c>
      <c r="J176" s="25">
        <f>IF(D176="","",D176-TODAY())</f>
        <v/>
      </c>
    </row>
    <row r="177">
      <c r="A177" s="21" t="n"/>
      <c r="B177" s="21" t="n"/>
      <c r="C177" s="21" t="n"/>
      <c r="D177" s="18" t="n"/>
      <c r="E177" s="21" t="n"/>
      <c r="F177" s="21" t="n"/>
      <c r="G177" s="24" t="n"/>
      <c r="H177" s="18" t="n"/>
      <c r="I177" s="21">
        <f>IF(OR(B177="完成",D177=""),"",IF(TODAY()&gt;D177,"逾期",""))</f>
        <v/>
      </c>
      <c r="J177" s="25">
        <f>IF(D177="","",D177-TODAY())</f>
        <v/>
      </c>
    </row>
    <row r="178">
      <c r="A178" s="21" t="n"/>
      <c r="B178" s="21" t="n"/>
      <c r="C178" s="21" t="n"/>
      <c r="D178" s="18" t="n"/>
      <c r="E178" s="21" t="n"/>
      <c r="F178" s="21" t="n"/>
      <c r="G178" s="24" t="n"/>
      <c r="H178" s="18" t="n"/>
      <c r="I178" s="21">
        <f>IF(OR(B178="完成",D178=""),"",IF(TODAY()&gt;D178,"逾期",""))</f>
        <v/>
      </c>
      <c r="J178" s="25">
        <f>IF(D178="","",D178-TODAY())</f>
        <v/>
      </c>
    </row>
    <row r="179">
      <c r="A179" s="21" t="n"/>
      <c r="B179" s="21" t="n"/>
      <c r="C179" s="21" t="n"/>
      <c r="D179" s="18" t="n"/>
      <c r="E179" s="21" t="n"/>
      <c r="F179" s="21" t="n"/>
      <c r="G179" s="24" t="n"/>
      <c r="H179" s="18" t="n"/>
      <c r="I179" s="21">
        <f>IF(OR(B179="完成",D179=""),"",IF(TODAY()&gt;D179,"逾期",""))</f>
        <v/>
      </c>
      <c r="J179" s="25">
        <f>IF(D179="","",D179-TODAY())</f>
        <v/>
      </c>
    </row>
    <row r="180">
      <c r="A180" s="21" t="n"/>
      <c r="B180" s="21" t="n"/>
      <c r="C180" s="21" t="n"/>
      <c r="D180" s="18" t="n"/>
      <c r="E180" s="21" t="n"/>
      <c r="F180" s="21" t="n"/>
      <c r="G180" s="24" t="n"/>
      <c r="H180" s="18" t="n"/>
      <c r="I180" s="21">
        <f>IF(OR(B180="完成",D180=""),"",IF(TODAY()&gt;D180,"逾期",""))</f>
        <v/>
      </c>
      <c r="J180" s="25">
        <f>IF(D180="","",D180-TODAY())</f>
        <v/>
      </c>
    </row>
    <row r="181">
      <c r="A181" s="21" t="n"/>
      <c r="B181" s="21" t="n"/>
      <c r="C181" s="21" t="n"/>
      <c r="D181" s="18" t="n"/>
      <c r="E181" s="21" t="n"/>
      <c r="F181" s="21" t="n"/>
      <c r="G181" s="24" t="n"/>
      <c r="H181" s="18" t="n"/>
      <c r="I181" s="21">
        <f>IF(OR(B181="完成",D181=""),"",IF(TODAY()&gt;D181,"逾期",""))</f>
        <v/>
      </c>
      <c r="J181" s="25">
        <f>IF(D181="","",D181-TODAY())</f>
        <v/>
      </c>
    </row>
    <row r="182">
      <c r="A182" s="21" t="n"/>
      <c r="B182" s="21" t="n"/>
      <c r="C182" s="21" t="n"/>
      <c r="D182" s="18" t="n"/>
      <c r="E182" s="21" t="n"/>
      <c r="F182" s="21" t="n"/>
      <c r="G182" s="24" t="n"/>
      <c r="H182" s="18" t="n"/>
      <c r="I182" s="21">
        <f>IF(OR(B182="完成",D182=""),"",IF(TODAY()&gt;D182,"逾期",""))</f>
        <v/>
      </c>
      <c r="J182" s="25">
        <f>IF(D182="","",D182-TODAY())</f>
        <v/>
      </c>
    </row>
    <row r="183">
      <c r="A183" s="21" t="n"/>
      <c r="B183" s="21" t="n"/>
      <c r="C183" s="21" t="n"/>
      <c r="D183" s="18" t="n"/>
      <c r="E183" s="21" t="n"/>
      <c r="F183" s="21" t="n"/>
      <c r="G183" s="24" t="n"/>
      <c r="H183" s="18" t="n"/>
      <c r="I183" s="21">
        <f>IF(OR(B183="完成",D183=""),"",IF(TODAY()&gt;D183,"逾期",""))</f>
        <v/>
      </c>
      <c r="J183" s="25">
        <f>IF(D183="","",D183-TODAY())</f>
        <v/>
      </c>
    </row>
    <row r="184">
      <c r="A184" s="21" t="n"/>
      <c r="B184" s="21" t="n"/>
      <c r="C184" s="21" t="n"/>
      <c r="D184" s="18" t="n"/>
      <c r="E184" s="21" t="n"/>
      <c r="F184" s="21" t="n"/>
      <c r="G184" s="24" t="n"/>
      <c r="H184" s="18" t="n"/>
      <c r="I184" s="21">
        <f>IF(OR(B184="完成",D184=""),"",IF(TODAY()&gt;D184,"逾期",""))</f>
        <v/>
      </c>
      <c r="J184" s="25">
        <f>IF(D184="","",D184-TODAY())</f>
        <v/>
      </c>
    </row>
    <row r="185">
      <c r="A185" s="21" t="n"/>
      <c r="B185" s="21" t="n"/>
      <c r="C185" s="21" t="n"/>
      <c r="D185" s="18" t="n"/>
      <c r="E185" s="21" t="n"/>
      <c r="F185" s="21" t="n"/>
      <c r="G185" s="24" t="n"/>
      <c r="H185" s="18" t="n"/>
      <c r="I185" s="21">
        <f>IF(OR(B185="完成",D185=""),"",IF(TODAY()&gt;D185,"逾期",""))</f>
        <v/>
      </c>
      <c r="J185" s="25">
        <f>IF(D185="","",D185-TODAY())</f>
        <v/>
      </c>
    </row>
    <row r="186">
      <c r="A186" s="21" t="n"/>
      <c r="B186" s="21" t="n"/>
      <c r="C186" s="21" t="n"/>
      <c r="D186" s="18" t="n"/>
      <c r="E186" s="21" t="n"/>
      <c r="F186" s="21" t="n"/>
      <c r="G186" s="24" t="n"/>
      <c r="H186" s="18" t="n"/>
      <c r="I186" s="21">
        <f>IF(OR(B186="完成",D186=""),"",IF(TODAY()&gt;D186,"逾期",""))</f>
        <v/>
      </c>
      <c r="J186" s="25">
        <f>IF(D186="","",D186-TODAY())</f>
        <v/>
      </c>
    </row>
    <row r="187">
      <c r="A187" s="21" t="n"/>
      <c r="B187" s="21" t="n"/>
      <c r="C187" s="21" t="n"/>
      <c r="D187" s="18" t="n"/>
      <c r="E187" s="21" t="n"/>
      <c r="F187" s="21" t="n"/>
      <c r="G187" s="24" t="n"/>
      <c r="H187" s="18" t="n"/>
      <c r="I187" s="21">
        <f>IF(OR(B187="完成",D187=""),"",IF(TODAY()&gt;D187,"逾期",""))</f>
        <v/>
      </c>
      <c r="J187" s="25">
        <f>IF(D187="","",D187-TODAY())</f>
        <v/>
      </c>
    </row>
    <row r="188">
      <c r="A188" s="21" t="n"/>
      <c r="B188" s="21" t="n"/>
      <c r="C188" s="21" t="n"/>
      <c r="D188" s="18" t="n"/>
      <c r="E188" s="21" t="n"/>
      <c r="F188" s="21" t="n"/>
      <c r="G188" s="24" t="n"/>
      <c r="H188" s="18" t="n"/>
      <c r="I188" s="21">
        <f>IF(OR(B188="完成",D188=""),"",IF(TODAY()&gt;D188,"逾期",""))</f>
        <v/>
      </c>
      <c r="J188" s="25">
        <f>IF(D188="","",D188-TODAY())</f>
        <v/>
      </c>
    </row>
    <row r="189">
      <c r="A189" s="21" t="n"/>
      <c r="B189" s="21" t="n"/>
      <c r="C189" s="21" t="n"/>
      <c r="D189" s="18" t="n"/>
      <c r="E189" s="21" t="n"/>
      <c r="F189" s="21" t="n"/>
      <c r="G189" s="24" t="n"/>
      <c r="H189" s="18" t="n"/>
      <c r="I189" s="21">
        <f>IF(OR(B189="完成",D189=""),"",IF(TODAY()&gt;D189,"逾期",""))</f>
        <v/>
      </c>
      <c r="J189" s="25">
        <f>IF(D189="","",D189-TODAY())</f>
        <v/>
      </c>
    </row>
    <row r="190">
      <c r="A190" s="21" t="n"/>
      <c r="B190" s="21" t="n"/>
      <c r="C190" s="21" t="n"/>
      <c r="D190" s="18" t="n"/>
      <c r="E190" s="21" t="n"/>
      <c r="F190" s="21" t="n"/>
      <c r="G190" s="24" t="n"/>
      <c r="H190" s="18" t="n"/>
      <c r="I190" s="21">
        <f>IF(OR(B190="完成",D190=""),"",IF(TODAY()&gt;D190,"逾期",""))</f>
        <v/>
      </c>
      <c r="J190" s="25">
        <f>IF(D190="","",D190-TODAY())</f>
        <v/>
      </c>
    </row>
    <row r="191">
      <c r="A191" s="21" t="n"/>
      <c r="B191" s="21" t="n"/>
      <c r="C191" s="21" t="n"/>
      <c r="D191" s="18" t="n"/>
      <c r="E191" s="21" t="n"/>
      <c r="F191" s="21" t="n"/>
      <c r="G191" s="24" t="n"/>
      <c r="H191" s="18" t="n"/>
      <c r="I191" s="21">
        <f>IF(OR(B191="完成",D191=""),"",IF(TODAY()&gt;D191,"逾期",""))</f>
        <v/>
      </c>
      <c r="J191" s="25">
        <f>IF(D191="","",D191-TODAY())</f>
        <v/>
      </c>
    </row>
    <row r="192">
      <c r="A192" s="21" t="n"/>
      <c r="B192" s="21" t="n"/>
      <c r="C192" s="21" t="n"/>
      <c r="D192" s="18" t="n"/>
      <c r="E192" s="21" t="n"/>
      <c r="F192" s="21" t="n"/>
      <c r="G192" s="24" t="n"/>
      <c r="H192" s="18" t="n"/>
      <c r="I192" s="21">
        <f>IF(OR(B192="完成",D192=""),"",IF(TODAY()&gt;D192,"逾期",""))</f>
        <v/>
      </c>
      <c r="J192" s="25">
        <f>IF(D192="","",D192-TODAY())</f>
        <v/>
      </c>
    </row>
    <row r="193">
      <c r="A193" s="21" t="n"/>
      <c r="B193" s="21" t="n"/>
      <c r="C193" s="21" t="n"/>
      <c r="D193" s="18" t="n"/>
      <c r="E193" s="21" t="n"/>
      <c r="F193" s="21" t="n"/>
      <c r="G193" s="24" t="n"/>
      <c r="H193" s="18" t="n"/>
      <c r="I193" s="21">
        <f>IF(OR(B193="完成",D193=""),"",IF(TODAY()&gt;D193,"逾期",""))</f>
        <v/>
      </c>
      <c r="J193" s="25">
        <f>IF(D193="","",D193-TODAY())</f>
        <v/>
      </c>
    </row>
    <row r="194">
      <c r="A194" s="21" t="n"/>
      <c r="B194" s="21" t="n"/>
      <c r="C194" s="21" t="n"/>
      <c r="D194" s="18" t="n"/>
      <c r="E194" s="21" t="n"/>
      <c r="F194" s="21" t="n"/>
      <c r="G194" s="24" t="n"/>
      <c r="H194" s="18" t="n"/>
      <c r="I194" s="21">
        <f>IF(OR(B194="完成",D194=""),"",IF(TODAY()&gt;D194,"逾期",""))</f>
        <v/>
      </c>
      <c r="J194" s="25">
        <f>IF(D194="","",D194-TODAY())</f>
        <v/>
      </c>
    </row>
    <row r="195">
      <c r="A195" s="21" t="n"/>
      <c r="B195" s="21" t="n"/>
      <c r="C195" s="21" t="n"/>
      <c r="D195" s="18" t="n"/>
      <c r="E195" s="21" t="n"/>
      <c r="F195" s="21" t="n"/>
      <c r="G195" s="24" t="n"/>
      <c r="H195" s="18" t="n"/>
      <c r="I195" s="21">
        <f>IF(OR(B195="完成",D195=""),"",IF(TODAY()&gt;D195,"逾期",""))</f>
        <v/>
      </c>
      <c r="J195" s="25">
        <f>IF(D195="","",D195-TODAY())</f>
        <v/>
      </c>
    </row>
    <row r="196">
      <c r="A196" s="21" t="n"/>
      <c r="B196" s="21" t="n"/>
      <c r="C196" s="21" t="n"/>
      <c r="D196" s="18" t="n"/>
      <c r="E196" s="21" t="n"/>
      <c r="F196" s="21" t="n"/>
      <c r="G196" s="24" t="n"/>
      <c r="H196" s="18" t="n"/>
      <c r="I196" s="21">
        <f>IF(OR(B196="完成",D196=""),"",IF(TODAY()&gt;D196,"逾期",""))</f>
        <v/>
      </c>
      <c r="J196" s="25">
        <f>IF(D196="","",D196-TODAY())</f>
        <v/>
      </c>
    </row>
    <row r="197">
      <c r="A197" s="21" t="n"/>
      <c r="B197" s="21" t="n"/>
      <c r="C197" s="21" t="n"/>
      <c r="D197" s="18" t="n"/>
      <c r="E197" s="21" t="n"/>
      <c r="F197" s="21" t="n"/>
      <c r="G197" s="24" t="n"/>
      <c r="H197" s="18" t="n"/>
      <c r="I197" s="21">
        <f>IF(OR(B197="完成",D197=""),"",IF(TODAY()&gt;D197,"逾期",""))</f>
        <v/>
      </c>
      <c r="J197" s="25">
        <f>IF(D197="","",D197-TODAY())</f>
        <v/>
      </c>
    </row>
    <row r="198">
      <c r="A198" s="21" t="n"/>
      <c r="B198" s="21" t="n"/>
      <c r="C198" s="21" t="n"/>
      <c r="D198" s="18" t="n"/>
      <c r="E198" s="21" t="n"/>
      <c r="F198" s="21" t="n"/>
      <c r="G198" s="24" t="n"/>
      <c r="H198" s="18" t="n"/>
      <c r="I198" s="21">
        <f>IF(OR(B198="完成",D198=""),"",IF(TODAY()&gt;D198,"逾期",""))</f>
        <v/>
      </c>
      <c r="J198" s="25">
        <f>IF(D198="","",D198-TODAY())</f>
        <v/>
      </c>
    </row>
    <row r="199">
      <c r="A199" s="21" t="n"/>
      <c r="B199" s="21" t="n"/>
      <c r="C199" s="21" t="n"/>
      <c r="D199" s="18" t="n"/>
      <c r="E199" s="21" t="n"/>
      <c r="F199" s="21" t="n"/>
      <c r="G199" s="24" t="n"/>
      <c r="H199" s="18" t="n"/>
      <c r="I199" s="21">
        <f>IF(OR(B199="完成",D199=""),"",IF(TODAY()&gt;D199,"逾期",""))</f>
        <v/>
      </c>
      <c r="J199" s="25">
        <f>IF(D199="","",D199-TODAY())</f>
        <v/>
      </c>
    </row>
    <row r="200">
      <c r="A200" s="21" t="n"/>
      <c r="B200" s="21" t="n"/>
      <c r="C200" s="21" t="n"/>
      <c r="D200" s="18" t="n"/>
      <c r="E200" s="21" t="n"/>
      <c r="F200" s="21" t="n"/>
      <c r="G200" s="24" t="n"/>
      <c r="H200" s="18" t="n"/>
      <c r="I200" s="21">
        <f>IF(OR(B200="完成",D200=""),"",IF(TODAY()&gt;D200,"逾期",""))</f>
        <v/>
      </c>
      <c r="J200" s="25">
        <f>IF(D200="","",D200-TODAY())</f>
        <v/>
      </c>
    </row>
    <row r="201">
      <c r="A201" s="21" t="n"/>
      <c r="B201" s="21" t="n"/>
      <c r="C201" s="21" t="n"/>
      <c r="D201" s="18" t="n"/>
      <c r="E201" s="21" t="n"/>
      <c r="F201" s="21" t="n"/>
      <c r="G201" s="24" t="n"/>
      <c r="H201" s="18" t="n"/>
      <c r="I201" s="21">
        <f>IF(OR(B201="完成",D201=""),"",IF(TODAY()&gt;D201,"逾期",""))</f>
        <v/>
      </c>
      <c r="J201" s="25">
        <f>IF(D201="","",D201-TODAY())</f>
        <v/>
      </c>
    </row>
    <row r="202">
      <c r="A202" s="21" t="n"/>
      <c r="B202" s="21" t="n"/>
      <c r="C202" s="21" t="n"/>
      <c r="D202" s="18" t="n"/>
      <c r="E202" s="21" t="n"/>
      <c r="F202" s="21" t="n"/>
      <c r="G202" s="24" t="n"/>
      <c r="H202" s="18" t="n"/>
      <c r="I202" s="21">
        <f>IF(OR(B202="完成",D202=""),"",IF(TODAY()&gt;D202,"逾期",""))</f>
        <v/>
      </c>
      <c r="J202" s="25">
        <f>IF(D202="","",D202-TODAY())</f>
        <v/>
      </c>
    </row>
    <row r="203">
      <c r="A203" s="21" t="n"/>
      <c r="B203" s="21" t="n"/>
      <c r="C203" s="21" t="n"/>
      <c r="D203" s="18" t="n"/>
      <c r="E203" s="21" t="n"/>
      <c r="F203" s="21" t="n"/>
      <c r="G203" s="24" t="n"/>
      <c r="H203" s="18" t="n"/>
      <c r="I203" s="21">
        <f>IF(OR(B203="完成",D203=""),"",IF(TODAY()&gt;D203,"逾期",""))</f>
        <v/>
      </c>
      <c r="J203" s="25">
        <f>IF(D203="","",D203-TODAY())</f>
        <v/>
      </c>
    </row>
    <row r="204">
      <c r="A204" s="21" t="n"/>
      <c r="B204" s="21" t="n"/>
      <c r="C204" s="21" t="n"/>
      <c r="D204" s="18" t="n"/>
      <c r="E204" s="21" t="n"/>
      <c r="F204" s="21" t="n"/>
      <c r="G204" s="24" t="n"/>
      <c r="H204" s="18" t="n"/>
      <c r="I204" s="21">
        <f>IF(OR(B204="完成",D204=""),"",IF(TODAY()&gt;D204,"逾期",""))</f>
        <v/>
      </c>
      <c r="J204" s="25">
        <f>IF(D204="","",D204-TODAY())</f>
        <v/>
      </c>
    </row>
    <row r="205">
      <c r="A205" s="21" t="n"/>
      <c r="B205" s="21" t="n"/>
      <c r="C205" s="21" t="n"/>
      <c r="D205" s="18" t="n"/>
      <c r="E205" s="21" t="n"/>
      <c r="F205" s="21" t="n"/>
      <c r="G205" s="24" t="n"/>
      <c r="H205" s="18" t="n"/>
      <c r="I205" s="21">
        <f>IF(OR(B205="完成",D205=""),"",IF(TODAY()&gt;D205,"逾期",""))</f>
        <v/>
      </c>
      <c r="J205" s="25">
        <f>IF(D205="","",D205-TODAY())</f>
        <v/>
      </c>
    </row>
    <row r="206">
      <c r="A206" s="21" t="n"/>
      <c r="B206" s="21" t="n"/>
      <c r="C206" s="21" t="n"/>
      <c r="D206" s="18" t="n"/>
      <c r="E206" s="21" t="n"/>
      <c r="F206" s="21" t="n"/>
      <c r="G206" s="24" t="n"/>
      <c r="H206" s="18" t="n"/>
      <c r="I206" s="21">
        <f>IF(OR(B206="完成",D206=""),"",IF(TODAY()&gt;D206,"逾期",""))</f>
        <v/>
      </c>
      <c r="J206" s="25">
        <f>IF(D206="","",D206-TODAY())</f>
        <v/>
      </c>
    </row>
    <row r="207">
      <c r="A207" s="21" t="n"/>
      <c r="B207" s="21" t="n"/>
      <c r="C207" s="21" t="n"/>
      <c r="D207" s="18" t="n"/>
      <c r="E207" s="21" t="n"/>
      <c r="F207" s="21" t="n"/>
      <c r="G207" s="24" t="n"/>
      <c r="H207" s="18" t="n"/>
      <c r="I207" s="21">
        <f>IF(OR(B207="完成",D207=""),"",IF(TODAY()&gt;D207,"逾期",""))</f>
        <v/>
      </c>
      <c r="J207" s="25">
        <f>IF(D207="","",D207-TODAY())</f>
        <v/>
      </c>
    </row>
    <row r="208">
      <c r="A208" s="21" t="n"/>
      <c r="B208" s="21" t="n"/>
      <c r="C208" s="21" t="n"/>
      <c r="D208" s="18" t="n"/>
      <c r="E208" s="21" t="n"/>
      <c r="F208" s="21" t="n"/>
      <c r="G208" s="24" t="n"/>
      <c r="H208" s="18" t="n"/>
      <c r="I208" s="21">
        <f>IF(OR(B208="完成",D208=""),"",IF(TODAY()&gt;D208,"逾期",""))</f>
        <v/>
      </c>
      <c r="J208" s="25">
        <f>IF(D208="","",D208-TODAY())</f>
        <v/>
      </c>
    </row>
    <row r="209">
      <c r="A209" s="21" t="n"/>
      <c r="B209" s="21" t="n"/>
      <c r="C209" s="21" t="n"/>
      <c r="D209" s="18" t="n"/>
      <c r="E209" s="21" t="n"/>
      <c r="F209" s="21" t="n"/>
      <c r="G209" s="24" t="n"/>
      <c r="H209" s="18" t="n"/>
      <c r="I209" s="21">
        <f>IF(OR(B209="完成",D209=""),"",IF(TODAY()&gt;D209,"逾期",""))</f>
        <v/>
      </c>
      <c r="J209" s="25">
        <f>IF(D209="","",D209-TODAY())</f>
        <v/>
      </c>
    </row>
    <row r="210">
      <c r="A210" s="21" t="n"/>
      <c r="B210" s="21" t="n"/>
      <c r="C210" s="21" t="n"/>
      <c r="D210" s="18" t="n"/>
      <c r="E210" s="21" t="n"/>
      <c r="F210" s="21" t="n"/>
      <c r="G210" s="24" t="n"/>
      <c r="H210" s="18" t="n"/>
      <c r="I210" s="21">
        <f>IF(OR(B210="完成",D210=""),"",IF(TODAY()&gt;D210,"逾期",""))</f>
        <v/>
      </c>
      <c r="J210" s="25">
        <f>IF(D210="","",D210-TODAY())</f>
        <v/>
      </c>
    </row>
    <row r="211">
      <c r="A211" s="21" t="n"/>
      <c r="B211" s="21" t="n"/>
      <c r="C211" s="21" t="n"/>
      <c r="D211" s="18" t="n"/>
      <c r="E211" s="21" t="n"/>
      <c r="F211" s="21" t="n"/>
      <c r="G211" s="24" t="n"/>
      <c r="H211" s="18" t="n"/>
      <c r="I211" s="21">
        <f>IF(OR(B211="完成",D211=""),"",IF(TODAY()&gt;D211,"逾期",""))</f>
        <v/>
      </c>
      <c r="J211" s="25">
        <f>IF(D211="","",D211-TODAY())</f>
        <v/>
      </c>
    </row>
    <row r="212">
      <c r="A212" s="21" t="n"/>
      <c r="B212" s="21" t="n"/>
      <c r="C212" s="21" t="n"/>
      <c r="D212" s="18" t="n"/>
      <c r="E212" s="21" t="n"/>
      <c r="F212" s="21" t="n"/>
      <c r="G212" s="24" t="n"/>
      <c r="H212" s="18" t="n"/>
      <c r="I212" s="21">
        <f>IF(OR(B212="完成",D212=""),"",IF(TODAY()&gt;D212,"逾期",""))</f>
        <v/>
      </c>
      <c r="J212" s="25">
        <f>IF(D212="","",D212-TODAY())</f>
        <v/>
      </c>
    </row>
    <row r="213">
      <c r="A213" s="21" t="n"/>
      <c r="B213" s="21" t="n"/>
      <c r="C213" s="21" t="n"/>
      <c r="D213" s="18" t="n"/>
      <c r="E213" s="21" t="n"/>
      <c r="F213" s="21" t="n"/>
      <c r="G213" s="24" t="n"/>
      <c r="H213" s="18" t="n"/>
      <c r="I213" s="21">
        <f>IF(OR(B213="完成",D213=""),"",IF(TODAY()&gt;D213,"逾期",""))</f>
        <v/>
      </c>
      <c r="J213" s="25">
        <f>IF(D213="","",D213-TODAY())</f>
        <v/>
      </c>
    </row>
    <row r="214">
      <c r="A214" s="21" t="n"/>
      <c r="B214" s="21" t="n"/>
      <c r="C214" s="21" t="n"/>
      <c r="D214" s="18" t="n"/>
      <c r="E214" s="21" t="n"/>
      <c r="F214" s="21" t="n"/>
      <c r="G214" s="24" t="n"/>
      <c r="H214" s="18" t="n"/>
      <c r="I214" s="21">
        <f>IF(OR(B214="完成",D214=""),"",IF(TODAY()&gt;D214,"逾期",""))</f>
        <v/>
      </c>
      <c r="J214" s="25">
        <f>IF(D214="","",D214-TODAY())</f>
        <v/>
      </c>
    </row>
    <row r="215">
      <c r="A215" s="21" t="n"/>
      <c r="B215" s="21" t="n"/>
      <c r="C215" s="21" t="n"/>
      <c r="D215" s="18" t="n"/>
      <c r="E215" s="21" t="n"/>
      <c r="F215" s="21" t="n"/>
      <c r="G215" s="24" t="n"/>
      <c r="H215" s="18" t="n"/>
      <c r="I215" s="21">
        <f>IF(OR(B215="完成",D215=""),"",IF(TODAY()&gt;D215,"逾期",""))</f>
        <v/>
      </c>
      <c r="J215" s="25">
        <f>IF(D215="","",D215-TODAY())</f>
        <v/>
      </c>
    </row>
    <row r="216">
      <c r="A216" s="21" t="n"/>
      <c r="B216" s="21" t="n"/>
      <c r="C216" s="21" t="n"/>
      <c r="D216" s="18" t="n"/>
      <c r="E216" s="21" t="n"/>
      <c r="F216" s="21" t="n"/>
      <c r="G216" s="24" t="n"/>
      <c r="H216" s="18" t="n"/>
      <c r="I216" s="21">
        <f>IF(OR(B216="完成",D216=""),"",IF(TODAY()&gt;D216,"逾期",""))</f>
        <v/>
      </c>
      <c r="J216" s="25">
        <f>IF(D216="","",D216-TODAY())</f>
        <v/>
      </c>
    </row>
    <row r="217">
      <c r="A217" s="21" t="n"/>
      <c r="B217" s="21" t="n"/>
      <c r="C217" s="21" t="n"/>
      <c r="D217" s="18" t="n"/>
      <c r="E217" s="21" t="n"/>
      <c r="F217" s="21" t="n"/>
      <c r="G217" s="24" t="n"/>
      <c r="H217" s="18" t="n"/>
      <c r="I217" s="21">
        <f>IF(OR(B217="完成",D217=""),"",IF(TODAY()&gt;D217,"逾期",""))</f>
        <v/>
      </c>
      <c r="J217" s="25">
        <f>IF(D217="","",D217-TODAY())</f>
        <v/>
      </c>
    </row>
    <row r="218">
      <c r="A218" s="21" t="n"/>
      <c r="B218" s="21" t="n"/>
      <c r="C218" s="21" t="n"/>
      <c r="D218" s="18" t="n"/>
      <c r="E218" s="21" t="n"/>
      <c r="F218" s="21" t="n"/>
      <c r="G218" s="24" t="n"/>
      <c r="H218" s="18" t="n"/>
      <c r="I218" s="21">
        <f>IF(OR(B218="完成",D218=""),"",IF(TODAY()&gt;D218,"逾期",""))</f>
        <v/>
      </c>
      <c r="J218" s="25">
        <f>IF(D218="","",D218-TODAY())</f>
        <v/>
      </c>
    </row>
    <row r="219">
      <c r="A219" s="21" t="n"/>
      <c r="B219" s="21" t="n"/>
      <c r="C219" s="21" t="n"/>
      <c r="D219" s="18" t="n"/>
      <c r="E219" s="21" t="n"/>
      <c r="F219" s="21" t="n"/>
      <c r="G219" s="24" t="n"/>
      <c r="H219" s="18" t="n"/>
      <c r="I219" s="21">
        <f>IF(OR(B219="完成",D219=""),"",IF(TODAY()&gt;D219,"逾期",""))</f>
        <v/>
      </c>
      <c r="J219" s="25">
        <f>IF(D219="","",D219-TODAY())</f>
        <v/>
      </c>
    </row>
    <row r="220">
      <c r="A220" s="21" t="n"/>
      <c r="B220" s="21" t="n"/>
      <c r="C220" s="21" t="n"/>
      <c r="D220" s="18" t="n"/>
      <c r="E220" s="21" t="n"/>
      <c r="F220" s="21" t="n"/>
      <c r="G220" s="24" t="n"/>
      <c r="H220" s="18" t="n"/>
      <c r="I220" s="21">
        <f>IF(OR(B220="完成",D220=""),"",IF(TODAY()&gt;D220,"逾期",""))</f>
        <v/>
      </c>
      <c r="J220" s="25">
        <f>IF(D220="","",D220-TODAY())</f>
        <v/>
      </c>
    </row>
    <row r="221">
      <c r="A221" s="21" t="n"/>
      <c r="B221" s="21" t="n"/>
      <c r="C221" s="21" t="n"/>
      <c r="D221" s="18" t="n"/>
      <c r="E221" s="21" t="n"/>
      <c r="F221" s="21" t="n"/>
      <c r="G221" s="24" t="n"/>
      <c r="H221" s="18" t="n"/>
      <c r="I221" s="21">
        <f>IF(OR(B221="完成",D221=""),"",IF(TODAY()&gt;D221,"逾期",""))</f>
        <v/>
      </c>
      <c r="J221" s="25">
        <f>IF(D221="","",D221-TODAY())</f>
        <v/>
      </c>
    </row>
    <row r="222">
      <c r="A222" s="21" t="n"/>
      <c r="B222" s="21" t="n"/>
      <c r="C222" s="21" t="n"/>
      <c r="D222" s="18" t="n"/>
      <c r="E222" s="21" t="n"/>
      <c r="F222" s="21" t="n"/>
      <c r="G222" s="24" t="n"/>
      <c r="H222" s="18" t="n"/>
      <c r="I222" s="21">
        <f>IF(OR(B222="完成",D222=""),"",IF(TODAY()&gt;D222,"逾期",""))</f>
        <v/>
      </c>
      <c r="J222" s="25">
        <f>IF(D222="","",D222-TODAY())</f>
        <v/>
      </c>
    </row>
    <row r="223">
      <c r="A223" s="21" t="n"/>
      <c r="B223" s="21" t="n"/>
      <c r="C223" s="21" t="n"/>
      <c r="D223" s="18" t="n"/>
      <c r="E223" s="21" t="n"/>
      <c r="F223" s="21" t="n"/>
      <c r="G223" s="24" t="n"/>
      <c r="H223" s="18" t="n"/>
      <c r="I223" s="21">
        <f>IF(OR(B223="完成",D223=""),"",IF(TODAY()&gt;D223,"逾期",""))</f>
        <v/>
      </c>
      <c r="J223" s="25">
        <f>IF(D223="","",D223-TODAY())</f>
        <v/>
      </c>
    </row>
    <row r="224">
      <c r="A224" s="21" t="n"/>
      <c r="B224" s="21" t="n"/>
      <c r="C224" s="21" t="n"/>
      <c r="D224" s="18" t="n"/>
      <c r="E224" s="21" t="n"/>
      <c r="F224" s="21" t="n"/>
      <c r="G224" s="24" t="n"/>
      <c r="H224" s="18" t="n"/>
      <c r="I224" s="21">
        <f>IF(OR(B224="完成",D224=""),"",IF(TODAY()&gt;D224,"逾期",""))</f>
        <v/>
      </c>
      <c r="J224" s="25">
        <f>IF(D224="","",D224-TODAY())</f>
        <v/>
      </c>
    </row>
    <row r="225">
      <c r="A225" s="21" t="n"/>
      <c r="B225" s="21" t="n"/>
      <c r="C225" s="21" t="n"/>
      <c r="D225" s="18" t="n"/>
      <c r="E225" s="21" t="n"/>
      <c r="F225" s="21" t="n"/>
      <c r="G225" s="24" t="n"/>
      <c r="H225" s="18" t="n"/>
      <c r="I225" s="21">
        <f>IF(OR(B225="完成",D225=""),"",IF(TODAY()&gt;D225,"逾期",""))</f>
        <v/>
      </c>
      <c r="J225" s="25">
        <f>IF(D225="","",D225-TODAY())</f>
        <v/>
      </c>
    </row>
    <row r="226">
      <c r="A226" s="21" t="n"/>
      <c r="B226" s="21" t="n"/>
      <c r="C226" s="21" t="n"/>
      <c r="D226" s="18" t="n"/>
      <c r="E226" s="21" t="n"/>
      <c r="F226" s="21" t="n"/>
      <c r="G226" s="24" t="n"/>
      <c r="H226" s="18" t="n"/>
      <c r="I226" s="21">
        <f>IF(OR(B226="完成",D226=""),"",IF(TODAY()&gt;D226,"逾期",""))</f>
        <v/>
      </c>
      <c r="J226" s="25">
        <f>IF(D226="","",D226-TODAY())</f>
        <v/>
      </c>
    </row>
    <row r="227">
      <c r="A227" s="21" t="n"/>
      <c r="B227" s="21" t="n"/>
      <c r="C227" s="21" t="n"/>
      <c r="D227" s="18" t="n"/>
      <c r="E227" s="21" t="n"/>
      <c r="F227" s="21" t="n"/>
      <c r="G227" s="24" t="n"/>
      <c r="H227" s="18" t="n"/>
      <c r="I227" s="21">
        <f>IF(OR(B227="完成",D227=""),"",IF(TODAY()&gt;D227,"逾期",""))</f>
        <v/>
      </c>
      <c r="J227" s="25">
        <f>IF(D227="","",D227-TODAY())</f>
        <v/>
      </c>
    </row>
    <row r="228">
      <c r="A228" s="21" t="n"/>
      <c r="B228" s="21" t="n"/>
      <c r="C228" s="21" t="n"/>
      <c r="D228" s="18" t="n"/>
      <c r="E228" s="21" t="n"/>
      <c r="F228" s="21" t="n"/>
      <c r="G228" s="24" t="n"/>
      <c r="H228" s="18" t="n"/>
      <c r="I228" s="21">
        <f>IF(OR(B228="完成",D228=""),"",IF(TODAY()&gt;D228,"逾期",""))</f>
        <v/>
      </c>
      <c r="J228" s="25">
        <f>IF(D228="","",D228-TODAY())</f>
        <v/>
      </c>
    </row>
    <row r="229">
      <c r="A229" s="21" t="n"/>
      <c r="B229" s="21" t="n"/>
      <c r="C229" s="21" t="n"/>
      <c r="D229" s="18" t="n"/>
      <c r="E229" s="21" t="n"/>
      <c r="F229" s="21" t="n"/>
      <c r="G229" s="24" t="n"/>
      <c r="H229" s="18" t="n"/>
      <c r="I229" s="21">
        <f>IF(OR(B229="完成",D229=""),"",IF(TODAY()&gt;D229,"逾期",""))</f>
        <v/>
      </c>
      <c r="J229" s="25">
        <f>IF(D229="","",D229-TODAY())</f>
        <v/>
      </c>
    </row>
    <row r="230">
      <c r="A230" s="21" t="n"/>
      <c r="B230" s="21" t="n"/>
      <c r="C230" s="21" t="n"/>
      <c r="D230" s="18" t="n"/>
      <c r="E230" s="21" t="n"/>
      <c r="F230" s="21" t="n"/>
      <c r="G230" s="24" t="n"/>
      <c r="H230" s="18" t="n"/>
      <c r="I230" s="21">
        <f>IF(OR(B230="完成",D230=""),"",IF(TODAY()&gt;D230,"逾期",""))</f>
        <v/>
      </c>
      <c r="J230" s="25">
        <f>IF(D230="","",D230-TODAY())</f>
        <v/>
      </c>
    </row>
    <row r="231">
      <c r="A231" s="21" t="n"/>
      <c r="B231" s="21" t="n"/>
      <c r="C231" s="21" t="n"/>
      <c r="D231" s="18" t="n"/>
      <c r="E231" s="21" t="n"/>
      <c r="F231" s="21" t="n"/>
      <c r="G231" s="24" t="n"/>
      <c r="H231" s="18" t="n"/>
      <c r="I231" s="21">
        <f>IF(OR(B231="完成",D231=""),"",IF(TODAY()&gt;D231,"逾期",""))</f>
        <v/>
      </c>
      <c r="J231" s="25">
        <f>IF(D231="","",D231-TODAY())</f>
        <v/>
      </c>
    </row>
    <row r="232">
      <c r="A232" s="21" t="n"/>
      <c r="B232" s="21" t="n"/>
      <c r="C232" s="21" t="n"/>
      <c r="D232" s="18" t="n"/>
      <c r="E232" s="21" t="n"/>
      <c r="F232" s="21" t="n"/>
      <c r="G232" s="24" t="n"/>
      <c r="H232" s="18" t="n"/>
      <c r="I232" s="21">
        <f>IF(OR(B232="完成",D232=""),"",IF(TODAY()&gt;D232,"逾期",""))</f>
        <v/>
      </c>
      <c r="J232" s="25">
        <f>IF(D232="","",D232-TODAY())</f>
        <v/>
      </c>
    </row>
    <row r="233">
      <c r="A233" s="21" t="n"/>
      <c r="B233" s="21" t="n"/>
      <c r="C233" s="21" t="n"/>
      <c r="D233" s="18" t="n"/>
      <c r="E233" s="21" t="n"/>
      <c r="F233" s="21" t="n"/>
      <c r="G233" s="24" t="n"/>
      <c r="H233" s="18" t="n"/>
      <c r="I233" s="21">
        <f>IF(OR(B233="完成",D233=""),"",IF(TODAY()&gt;D233,"逾期",""))</f>
        <v/>
      </c>
      <c r="J233" s="25">
        <f>IF(D233="","",D233-TODAY())</f>
        <v/>
      </c>
    </row>
    <row r="234">
      <c r="A234" s="21" t="n"/>
      <c r="B234" s="21" t="n"/>
      <c r="C234" s="21" t="n"/>
      <c r="D234" s="18" t="n"/>
      <c r="E234" s="21" t="n"/>
      <c r="F234" s="21" t="n"/>
      <c r="G234" s="24" t="n"/>
      <c r="H234" s="18" t="n"/>
      <c r="I234" s="21">
        <f>IF(OR(B234="完成",D234=""),"",IF(TODAY()&gt;D234,"逾期",""))</f>
        <v/>
      </c>
      <c r="J234" s="25">
        <f>IF(D234="","",D234-TODAY())</f>
        <v/>
      </c>
    </row>
    <row r="235">
      <c r="A235" s="21" t="n"/>
      <c r="B235" s="21" t="n"/>
      <c r="C235" s="21" t="n"/>
      <c r="D235" s="18" t="n"/>
      <c r="E235" s="21" t="n"/>
      <c r="F235" s="21" t="n"/>
      <c r="G235" s="24" t="n"/>
      <c r="H235" s="18" t="n"/>
      <c r="I235" s="21">
        <f>IF(OR(B235="完成",D235=""),"",IF(TODAY()&gt;D235,"逾期",""))</f>
        <v/>
      </c>
      <c r="J235" s="25">
        <f>IF(D235="","",D235-TODAY())</f>
        <v/>
      </c>
    </row>
    <row r="236">
      <c r="A236" s="21" t="n"/>
      <c r="B236" s="21" t="n"/>
      <c r="C236" s="21" t="n"/>
      <c r="D236" s="18" t="n"/>
      <c r="E236" s="21" t="n"/>
      <c r="F236" s="21" t="n"/>
      <c r="G236" s="24" t="n"/>
      <c r="H236" s="18" t="n"/>
      <c r="I236" s="21">
        <f>IF(OR(B236="完成",D236=""),"",IF(TODAY()&gt;D236,"逾期",""))</f>
        <v/>
      </c>
      <c r="J236" s="25">
        <f>IF(D236="","",D236-TODAY())</f>
        <v/>
      </c>
    </row>
    <row r="237">
      <c r="A237" s="21" t="n"/>
      <c r="B237" s="21" t="n"/>
      <c r="C237" s="21" t="n"/>
      <c r="D237" s="18" t="n"/>
      <c r="E237" s="21" t="n"/>
      <c r="F237" s="21" t="n"/>
      <c r="G237" s="24" t="n"/>
      <c r="H237" s="18" t="n"/>
      <c r="I237" s="21">
        <f>IF(OR(B237="完成",D237=""),"",IF(TODAY()&gt;D237,"逾期",""))</f>
        <v/>
      </c>
      <c r="J237" s="25">
        <f>IF(D237="","",D237-TODAY())</f>
        <v/>
      </c>
    </row>
    <row r="238">
      <c r="A238" s="21" t="n"/>
      <c r="B238" s="21" t="n"/>
      <c r="C238" s="21" t="n"/>
      <c r="D238" s="18" t="n"/>
      <c r="E238" s="21" t="n"/>
      <c r="F238" s="21" t="n"/>
      <c r="G238" s="24" t="n"/>
      <c r="H238" s="18" t="n"/>
      <c r="I238" s="21">
        <f>IF(OR(B238="完成",D238=""),"",IF(TODAY()&gt;D238,"逾期",""))</f>
        <v/>
      </c>
      <c r="J238" s="25">
        <f>IF(D238="","",D238-TODAY())</f>
        <v/>
      </c>
    </row>
    <row r="239">
      <c r="A239" s="21" t="n"/>
      <c r="B239" s="21" t="n"/>
      <c r="C239" s="21" t="n"/>
      <c r="D239" s="18" t="n"/>
      <c r="E239" s="21" t="n"/>
      <c r="F239" s="21" t="n"/>
      <c r="G239" s="24" t="n"/>
      <c r="H239" s="18" t="n"/>
      <c r="I239" s="21">
        <f>IF(OR(B239="完成",D239=""),"",IF(TODAY()&gt;D239,"逾期",""))</f>
        <v/>
      </c>
      <c r="J239" s="25">
        <f>IF(D239="","",D239-TODAY())</f>
        <v/>
      </c>
    </row>
    <row r="240">
      <c r="A240" s="21" t="n"/>
      <c r="B240" s="21" t="n"/>
      <c r="C240" s="21" t="n"/>
      <c r="D240" s="18" t="n"/>
      <c r="E240" s="21" t="n"/>
      <c r="F240" s="21" t="n"/>
      <c r="G240" s="24" t="n"/>
      <c r="H240" s="18" t="n"/>
      <c r="I240" s="21">
        <f>IF(OR(B240="完成",D240=""),"",IF(TODAY()&gt;D240,"逾期",""))</f>
        <v/>
      </c>
      <c r="J240" s="25">
        <f>IF(D240="","",D240-TODAY())</f>
        <v/>
      </c>
    </row>
    <row r="241">
      <c r="A241" s="21" t="n"/>
      <c r="B241" s="21" t="n"/>
      <c r="C241" s="21" t="n"/>
      <c r="D241" s="18" t="n"/>
      <c r="E241" s="21" t="n"/>
      <c r="F241" s="21" t="n"/>
      <c r="G241" s="24" t="n"/>
      <c r="H241" s="18" t="n"/>
      <c r="I241" s="21">
        <f>IF(OR(B241="完成",D241=""),"",IF(TODAY()&gt;D241,"逾期",""))</f>
        <v/>
      </c>
      <c r="J241" s="25">
        <f>IF(D241="","",D241-TODAY())</f>
        <v/>
      </c>
    </row>
    <row r="242">
      <c r="A242" s="21" t="n"/>
      <c r="B242" s="21" t="n"/>
      <c r="C242" s="21" t="n"/>
      <c r="D242" s="18" t="n"/>
      <c r="E242" s="21" t="n"/>
      <c r="F242" s="21" t="n"/>
      <c r="G242" s="24" t="n"/>
      <c r="H242" s="18" t="n"/>
      <c r="I242" s="21">
        <f>IF(OR(B242="完成",D242=""),"",IF(TODAY()&gt;D242,"逾期",""))</f>
        <v/>
      </c>
      <c r="J242" s="25">
        <f>IF(D242="","",D242-TODAY())</f>
        <v/>
      </c>
    </row>
    <row r="243">
      <c r="A243" s="21" t="n"/>
      <c r="B243" s="21" t="n"/>
      <c r="C243" s="21" t="n"/>
      <c r="D243" s="18" t="n"/>
      <c r="E243" s="21" t="n"/>
      <c r="F243" s="21" t="n"/>
      <c r="G243" s="24" t="n"/>
      <c r="H243" s="18" t="n"/>
      <c r="I243" s="21">
        <f>IF(OR(B243="完成",D243=""),"",IF(TODAY()&gt;D243,"逾期",""))</f>
        <v/>
      </c>
      <c r="J243" s="25">
        <f>IF(D243="","",D243-TODAY())</f>
        <v/>
      </c>
    </row>
    <row r="244">
      <c r="A244" s="21" t="n"/>
      <c r="B244" s="21" t="n"/>
      <c r="C244" s="21" t="n"/>
      <c r="D244" s="18" t="n"/>
      <c r="E244" s="21" t="n"/>
      <c r="F244" s="21" t="n"/>
      <c r="G244" s="24" t="n"/>
      <c r="H244" s="18" t="n"/>
      <c r="I244" s="21">
        <f>IF(OR(B244="完成",D244=""),"",IF(TODAY()&gt;D244,"逾期",""))</f>
        <v/>
      </c>
      <c r="J244" s="25">
        <f>IF(D244="","",D244-TODAY())</f>
        <v/>
      </c>
    </row>
    <row r="245">
      <c r="A245" s="21" t="n"/>
      <c r="B245" s="21" t="n"/>
      <c r="C245" s="21" t="n"/>
      <c r="D245" s="18" t="n"/>
      <c r="E245" s="21" t="n"/>
      <c r="F245" s="21" t="n"/>
      <c r="G245" s="24" t="n"/>
      <c r="H245" s="18" t="n"/>
      <c r="I245" s="21">
        <f>IF(OR(B245="完成",D245=""),"",IF(TODAY()&gt;D245,"逾期",""))</f>
        <v/>
      </c>
      <c r="J245" s="25">
        <f>IF(D245="","",D245-TODAY())</f>
        <v/>
      </c>
    </row>
    <row r="246">
      <c r="A246" s="21" t="n"/>
      <c r="B246" s="21" t="n"/>
      <c r="C246" s="21" t="n"/>
      <c r="D246" s="18" t="n"/>
      <c r="E246" s="21" t="n"/>
      <c r="F246" s="21" t="n"/>
      <c r="G246" s="24" t="n"/>
      <c r="H246" s="18" t="n"/>
      <c r="I246" s="21">
        <f>IF(OR(B246="完成",D246=""),"",IF(TODAY()&gt;D246,"逾期",""))</f>
        <v/>
      </c>
      <c r="J246" s="25">
        <f>IF(D246="","",D246-TODAY())</f>
        <v/>
      </c>
    </row>
    <row r="247">
      <c r="A247" s="21" t="n"/>
      <c r="B247" s="21" t="n"/>
      <c r="C247" s="21" t="n"/>
      <c r="D247" s="18" t="n"/>
      <c r="E247" s="21" t="n"/>
      <c r="F247" s="21" t="n"/>
      <c r="G247" s="24" t="n"/>
      <c r="H247" s="18" t="n"/>
      <c r="I247" s="21">
        <f>IF(OR(B247="完成",D247=""),"",IF(TODAY()&gt;D247,"逾期",""))</f>
        <v/>
      </c>
      <c r="J247" s="25">
        <f>IF(D247="","",D247-TODAY())</f>
        <v/>
      </c>
    </row>
    <row r="248">
      <c r="A248" s="21" t="n"/>
      <c r="B248" s="21" t="n"/>
      <c r="C248" s="21" t="n"/>
      <c r="D248" s="18" t="n"/>
      <c r="E248" s="21" t="n"/>
      <c r="F248" s="21" t="n"/>
      <c r="G248" s="24" t="n"/>
      <c r="H248" s="18" t="n"/>
      <c r="I248" s="21">
        <f>IF(OR(B248="完成",D248=""),"",IF(TODAY()&gt;D248,"逾期",""))</f>
        <v/>
      </c>
      <c r="J248" s="25">
        <f>IF(D248="","",D248-TODAY())</f>
        <v/>
      </c>
    </row>
    <row r="249">
      <c r="A249" s="21" t="n"/>
      <c r="B249" s="21" t="n"/>
      <c r="C249" s="21" t="n"/>
      <c r="D249" s="18" t="n"/>
      <c r="E249" s="21" t="n"/>
      <c r="F249" s="21" t="n"/>
      <c r="G249" s="24" t="n"/>
      <c r="H249" s="18" t="n"/>
      <c r="I249" s="21">
        <f>IF(OR(B249="完成",D249=""),"",IF(TODAY()&gt;D249,"逾期",""))</f>
        <v/>
      </c>
      <c r="J249" s="25">
        <f>IF(D249="","",D249-TODAY())</f>
        <v/>
      </c>
    </row>
    <row r="250">
      <c r="A250" s="21" t="n"/>
      <c r="B250" s="21" t="n"/>
      <c r="C250" s="21" t="n"/>
      <c r="D250" s="18" t="n"/>
      <c r="E250" s="21" t="n"/>
      <c r="F250" s="21" t="n"/>
      <c r="G250" s="24" t="n"/>
      <c r="H250" s="18" t="n"/>
      <c r="I250" s="21">
        <f>IF(OR(B250="完成",D250=""),"",IF(TODAY()&gt;D250,"逾期",""))</f>
        <v/>
      </c>
      <c r="J250" s="25">
        <f>IF(D250="","",D250-TODAY())</f>
        <v/>
      </c>
    </row>
    <row r="251">
      <c r="A251" s="21" t="n"/>
      <c r="B251" s="21" t="n"/>
      <c r="C251" s="21" t="n"/>
      <c r="D251" s="18" t="n"/>
      <c r="E251" s="21" t="n"/>
      <c r="F251" s="21" t="n"/>
      <c r="G251" s="24" t="n"/>
      <c r="H251" s="18" t="n"/>
      <c r="I251" s="21">
        <f>IF(OR(B251="完成",D251=""),"",IF(TODAY()&gt;D251,"逾期",""))</f>
        <v/>
      </c>
      <c r="J251" s="25">
        <f>IF(D251="","",D251-TODAY())</f>
        <v/>
      </c>
    </row>
    <row r="252">
      <c r="A252" s="21" t="n"/>
      <c r="B252" s="21" t="n"/>
      <c r="C252" s="21" t="n"/>
      <c r="D252" s="18" t="n"/>
      <c r="E252" s="21" t="n"/>
      <c r="F252" s="21" t="n"/>
      <c r="G252" s="24" t="n"/>
      <c r="H252" s="18" t="n"/>
      <c r="I252" s="21">
        <f>IF(OR(B252="完成",D252=""),"",IF(TODAY()&gt;D252,"逾期",""))</f>
        <v/>
      </c>
      <c r="J252" s="25">
        <f>IF(D252="","",D252-TODAY())</f>
        <v/>
      </c>
    </row>
    <row r="253">
      <c r="A253" s="21" t="n"/>
      <c r="B253" s="21" t="n"/>
      <c r="C253" s="21" t="n"/>
      <c r="D253" s="18" t="n"/>
      <c r="E253" s="21" t="n"/>
      <c r="F253" s="21" t="n"/>
      <c r="G253" s="24" t="n"/>
      <c r="H253" s="18" t="n"/>
      <c r="I253" s="21">
        <f>IF(OR(B253="完成",D253=""),"",IF(TODAY()&gt;D253,"逾期",""))</f>
        <v/>
      </c>
      <c r="J253" s="25">
        <f>IF(D253="","",D253-TODAY())</f>
        <v/>
      </c>
    </row>
    <row r="254">
      <c r="A254" s="21" t="n"/>
      <c r="B254" s="21" t="n"/>
      <c r="C254" s="21" t="n"/>
      <c r="D254" s="18" t="n"/>
      <c r="E254" s="21" t="n"/>
      <c r="F254" s="21" t="n"/>
      <c r="G254" s="24" t="n"/>
      <c r="H254" s="18" t="n"/>
      <c r="I254" s="21">
        <f>IF(OR(B254="完成",D254=""),"",IF(TODAY()&gt;D254,"逾期",""))</f>
        <v/>
      </c>
      <c r="J254" s="25">
        <f>IF(D254="","",D254-TODAY())</f>
        <v/>
      </c>
    </row>
    <row r="255">
      <c r="A255" s="21" t="n"/>
      <c r="B255" s="21" t="n"/>
      <c r="C255" s="21" t="n"/>
      <c r="D255" s="18" t="n"/>
      <c r="E255" s="21" t="n"/>
      <c r="F255" s="21" t="n"/>
      <c r="G255" s="24" t="n"/>
      <c r="H255" s="18" t="n"/>
      <c r="I255" s="21">
        <f>IF(OR(B255="完成",D255=""),"",IF(TODAY()&gt;D255,"逾期",""))</f>
        <v/>
      </c>
      <c r="J255" s="25">
        <f>IF(D255="","",D255-TODAY())</f>
        <v/>
      </c>
    </row>
    <row r="256">
      <c r="A256" s="21" t="n"/>
      <c r="B256" s="21" t="n"/>
      <c r="C256" s="21" t="n"/>
      <c r="D256" s="18" t="n"/>
      <c r="E256" s="21" t="n"/>
      <c r="F256" s="21" t="n"/>
      <c r="G256" s="24" t="n"/>
      <c r="H256" s="18" t="n"/>
      <c r="I256" s="21">
        <f>IF(OR(B256="完成",D256=""),"",IF(TODAY()&gt;D256,"逾期",""))</f>
        <v/>
      </c>
      <c r="J256" s="25">
        <f>IF(D256="","",D256-TODAY())</f>
        <v/>
      </c>
    </row>
    <row r="257">
      <c r="A257" s="21" t="n"/>
      <c r="B257" s="21" t="n"/>
      <c r="C257" s="21" t="n"/>
      <c r="D257" s="18" t="n"/>
      <c r="E257" s="21" t="n"/>
      <c r="F257" s="21" t="n"/>
      <c r="G257" s="24" t="n"/>
      <c r="H257" s="18" t="n"/>
      <c r="I257" s="21">
        <f>IF(OR(B257="完成",D257=""),"",IF(TODAY()&gt;D257,"逾期",""))</f>
        <v/>
      </c>
      <c r="J257" s="25">
        <f>IF(D257="","",D257-TODAY())</f>
        <v/>
      </c>
    </row>
    <row r="258">
      <c r="A258" s="21" t="n"/>
      <c r="B258" s="21" t="n"/>
      <c r="C258" s="21" t="n"/>
      <c r="D258" s="18" t="n"/>
      <c r="E258" s="21" t="n"/>
      <c r="F258" s="21" t="n"/>
      <c r="G258" s="24" t="n"/>
      <c r="H258" s="18" t="n"/>
      <c r="I258" s="21">
        <f>IF(OR(B258="完成",D258=""),"",IF(TODAY()&gt;D258,"逾期",""))</f>
        <v/>
      </c>
      <c r="J258" s="25">
        <f>IF(D258="","",D258-TODAY())</f>
        <v/>
      </c>
    </row>
    <row r="259">
      <c r="A259" s="21" t="n"/>
      <c r="B259" s="21" t="n"/>
      <c r="C259" s="21" t="n"/>
      <c r="D259" s="18" t="n"/>
      <c r="E259" s="21" t="n"/>
      <c r="F259" s="21" t="n"/>
      <c r="G259" s="24" t="n"/>
      <c r="H259" s="18" t="n"/>
      <c r="I259" s="21">
        <f>IF(OR(B259="完成",D259=""),"",IF(TODAY()&gt;D259,"逾期",""))</f>
        <v/>
      </c>
      <c r="J259" s="25">
        <f>IF(D259="","",D259-TODAY())</f>
        <v/>
      </c>
    </row>
    <row r="260">
      <c r="A260" s="21" t="n"/>
      <c r="B260" s="21" t="n"/>
      <c r="C260" s="21" t="n"/>
      <c r="D260" s="18" t="n"/>
      <c r="E260" s="21" t="n"/>
      <c r="F260" s="21" t="n"/>
      <c r="G260" s="24" t="n"/>
      <c r="H260" s="18" t="n"/>
      <c r="I260" s="21">
        <f>IF(OR(B260="完成",D260=""),"",IF(TODAY()&gt;D260,"逾期",""))</f>
        <v/>
      </c>
      <c r="J260" s="25">
        <f>IF(D260="","",D260-TODAY())</f>
        <v/>
      </c>
    </row>
    <row r="261">
      <c r="A261" s="21" t="n"/>
      <c r="B261" s="21" t="n"/>
      <c r="C261" s="21" t="n"/>
      <c r="D261" s="18" t="n"/>
      <c r="E261" s="21" t="n"/>
      <c r="F261" s="21" t="n"/>
      <c r="G261" s="24" t="n"/>
      <c r="H261" s="18" t="n"/>
      <c r="I261" s="21">
        <f>IF(OR(B261="完成",D261=""),"",IF(TODAY()&gt;D261,"逾期",""))</f>
        <v/>
      </c>
      <c r="J261" s="25">
        <f>IF(D261="","",D261-TODAY())</f>
        <v/>
      </c>
    </row>
    <row r="262">
      <c r="A262" s="21" t="n"/>
      <c r="B262" s="21" t="n"/>
      <c r="C262" s="21" t="n"/>
      <c r="D262" s="18" t="n"/>
      <c r="E262" s="21" t="n"/>
      <c r="F262" s="21" t="n"/>
      <c r="G262" s="24" t="n"/>
      <c r="H262" s="18" t="n"/>
      <c r="I262" s="21">
        <f>IF(OR(B262="完成",D262=""),"",IF(TODAY()&gt;D262,"逾期",""))</f>
        <v/>
      </c>
      <c r="J262" s="25">
        <f>IF(D262="","",D262-TODAY())</f>
        <v/>
      </c>
    </row>
    <row r="263">
      <c r="A263" s="21" t="n"/>
      <c r="B263" s="21" t="n"/>
      <c r="C263" s="21" t="n"/>
      <c r="D263" s="18" t="n"/>
      <c r="E263" s="21" t="n"/>
      <c r="F263" s="21" t="n"/>
      <c r="G263" s="24" t="n"/>
      <c r="H263" s="18" t="n"/>
      <c r="I263" s="21">
        <f>IF(OR(B263="完成",D263=""),"",IF(TODAY()&gt;D263,"逾期",""))</f>
        <v/>
      </c>
      <c r="J263" s="25">
        <f>IF(D263="","",D263-TODAY())</f>
        <v/>
      </c>
    </row>
    <row r="264">
      <c r="A264" s="21" t="n"/>
      <c r="B264" s="21" t="n"/>
      <c r="C264" s="21" t="n"/>
      <c r="D264" s="18" t="n"/>
      <c r="E264" s="21" t="n"/>
      <c r="F264" s="21" t="n"/>
      <c r="G264" s="24" t="n"/>
      <c r="H264" s="18" t="n"/>
      <c r="I264" s="21">
        <f>IF(OR(B264="完成",D264=""),"",IF(TODAY()&gt;D264,"逾期",""))</f>
        <v/>
      </c>
      <c r="J264" s="25">
        <f>IF(D264="","",D264-TODAY())</f>
        <v/>
      </c>
    </row>
    <row r="265">
      <c r="A265" s="21" t="n"/>
      <c r="B265" s="21" t="n"/>
      <c r="C265" s="21" t="n"/>
      <c r="D265" s="18" t="n"/>
      <c r="E265" s="21" t="n"/>
      <c r="F265" s="21" t="n"/>
      <c r="G265" s="24" t="n"/>
      <c r="H265" s="18" t="n"/>
      <c r="I265" s="21">
        <f>IF(OR(B265="完成",D265=""),"",IF(TODAY()&gt;D265,"逾期",""))</f>
        <v/>
      </c>
      <c r="J265" s="25">
        <f>IF(D265="","",D265-TODAY())</f>
        <v/>
      </c>
    </row>
    <row r="266">
      <c r="A266" s="21" t="n"/>
      <c r="B266" s="21" t="n"/>
      <c r="C266" s="21" t="n"/>
      <c r="D266" s="18" t="n"/>
      <c r="E266" s="21" t="n"/>
      <c r="F266" s="21" t="n"/>
      <c r="G266" s="24" t="n"/>
      <c r="H266" s="18" t="n"/>
      <c r="I266" s="21">
        <f>IF(OR(B266="完成",D266=""),"",IF(TODAY()&gt;D266,"逾期",""))</f>
        <v/>
      </c>
      <c r="J266" s="25">
        <f>IF(D266="","",D266-TODAY())</f>
        <v/>
      </c>
    </row>
    <row r="267">
      <c r="A267" s="21" t="n"/>
      <c r="B267" s="21" t="n"/>
      <c r="C267" s="21" t="n"/>
      <c r="D267" s="18" t="n"/>
      <c r="E267" s="21" t="n"/>
      <c r="F267" s="21" t="n"/>
      <c r="G267" s="24" t="n"/>
      <c r="H267" s="18" t="n"/>
      <c r="I267" s="21">
        <f>IF(OR(B267="完成",D267=""),"",IF(TODAY()&gt;D267,"逾期",""))</f>
        <v/>
      </c>
      <c r="J267" s="25">
        <f>IF(D267="","",D267-TODAY())</f>
        <v/>
      </c>
    </row>
    <row r="268">
      <c r="A268" s="21" t="n"/>
      <c r="B268" s="21" t="n"/>
      <c r="C268" s="21" t="n"/>
      <c r="D268" s="18" t="n"/>
      <c r="E268" s="21" t="n"/>
      <c r="F268" s="21" t="n"/>
      <c r="G268" s="24" t="n"/>
      <c r="H268" s="18" t="n"/>
      <c r="I268" s="21">
        <f>IF(OR(B268="完成",D268=""),"",IF(TODAY()&gt;D268,"逾期",""))</f>
        <v/>
      </c>
      <c r="J268" s="25">
        <f>IF(D268="","",D268-TODAY())</f>
        <v/>
      </c>
    </row>
    <row r="269">
      <c r="A269" s="21" t="n"/>
      <c r="B269" s="21" t="n"/>
      <c r="C269" s="21" t="n"/>
      <c r="D269" s="18" t="n"/>
      <c r="E269" s="21" t="n"/>
      <c r="F269" s="21" t="n"/>
      <c r="G269" s="24" t="n"/>
      <c r="H269" s="18" t="n"/>
      <c r="I269" s="21">
        <f>IF(OR(B269="完成",D269=""),"",IF(TODAY()&gt;D269,"逾期",""))</f>
        <v/>
      </c>
      <c r="J269" s="25">
        <f>IF(D269="","",D269-TODAY())</f>
        <v/>
      </c>
    </row>
    <row r="270">
      <c r="A270" s="21" t="n"/>
      <c r="B270" s="21" t="n"/>
      <c r="C270" s="21" t="n"/>
      <c r="D270" s="18" t="n"/>
      <c r="E270" s="21" t="n"/>
      <c r="F270" s="21" t="n"/>
      <c r="G270" s="24" t="n"/>
      <c r="H270" s="18" t="n"/>
      <c r="I270" s="21">
        <f>IF(OR(B270="完成",D270=""),"",IF(TODAY()&gt;D270,"逾期",""))</f>
        <v/>
      </c>
      <c r="J270" s="25">
        <f>IF(D270="","",D270-TODAY())</f>
        <v/>
      </c>
    </row>
    <row r="271">
      <c r="A271" s="21" t="n"/>
      <c r="B271" s="21" t="n"/>
      <c r="C271" s="21" t="n"/>
      <c r="D271" s="18" t="n"/>
      <c r="E271" s="21" t="n"/>
      <c r="F271" s="21" t="n"/>
      <c r="G271" s="24" t="n"/>
      <c r="H271" s="18" t="n"/>
      <c r="I271" s="21">
        <f>IF(OR(B271="完成",D271=""),"",IF(TODAY()&gt;D271,"逾期",""))</f>
        <v/>
      </c>
      <c r="J271" s="25">
        <f>IF(D271="","",D271-TODAY())</f>
        <v/>
      </c>
    </row>
    <row r="272">
      <c r="A272" s="21" t="n"/>
      <c r="B272" s="21" t="n"/>
      <c r="C272" s="21" t="n"/>
      <c r="D272" s="18" t="n"/>
      <c r="E272" s="21" t="n"/>
      <c r="F272" s="21" t="n"/>
      <c r="G272" s="24" t="n"/>
      <c r="H272" s="18" t="n"/>
      <c r="I272" s="21">
        <f>IF(OR(B272="完成",D272=""),"",IF(TODAY()&gt;D272,"逾期",""))</f>
        <v/>
      </c>
      <c r="J272" s="25">
        <f>IF(D272="","",D272-TODAY())</f>
        <v/>
      </c>
    </row>
    <row r="273">
      <c r="A273" s="21" t="n"/>
      <c r="B273" s="21" t="n"/>
      <c r="C273" s="21" t="n"/>
      <c r="D273" s="18" t="n"/>
      <c r="E273" s="21" t="n"/>
      <c r="F273" s="21" t="n"/>
      <c r="G273" s="24" t="n"/>
      <c r="H273" s="18" t="n"/>
      <c r="I273" s="21">
        <f>IF(OR(B273="完成",D273=""),"",IF(TODAY()&gt;D273,"逾期",""))</f>
        <v/>
      </c>
      <c r="J273" s="25">
        <f>IF(D273="","",D273-TODAY())</f>
        <v/>
      </c>
    </row>
    <row r="274">
      <c r="A274" s="21" t="n"/>
      <c r="B274" s="21" t="n"/>
      <c r="C274" s="21" t="n"/>
      <c r="D274" s="18" t="n"/>
      <c r="E274" s="21" t="n"/>
      <c r="F274" s="21" t="n"/>
      <c r="G274" s="24" t="n"/>
      <c r="H274" s="18" t="n"/>
      <c r="I274" s="21">
        <f>IF(OR(B274="完成",D274=""),"",IF(TODAY()&gt;D274,"逾期",""))</f>
        <v/>
      </c>
      <c r="J274" s="25">
        <f>IF(D274="","",D274-TODAY())</f>
        <v/>
      </c>
    </row>
    <row r="275">
      <c r="A275" s="21" t="n"/>
      <c r="B275" s="21" t="n"/>
      <c r="C275" s="21" t="n"/>
      <c r="D275" s="18" t="n"/>
      <c r="E275" s="21" t="n"/>
      <c r="F275" s="21" t="n"/>
      <c r="G275" s="24" t="n"/>
      <c r="H275" s="18" t="n"/>
      <c r="I275" s="21">
        <f>IF(OR(B275="完成",D275=""),"",IF(TODAY()&gt;D275,"逾期",""))</f>
        <v/>
      </c>
      <c r="J275" s="25">
        <f>IF(D275="","",D275-TODAY())</f>
        <v/>
      </c>
    </row>
    <row r="276">
      <c r="A276" s="21" t="n"/>
      <c r="B276" s="21" t="n"/>
      <c r="C276" s="21" t="n"/>
      <c r="D276" s="18" t="n"/>
      <c r="E276" s="21" t="n"/>
      <c r="F276" s="21" t="n"/>
      <c r="G276" s="24" t="n"/>
      <c r="H276" s="18" t="n"/>
      <c r="I276" s="21">
        <f>IF(OR(B276="完成",D276=""),"",IF(TODAY()&gt;D276,"逾期",""))</f>
        <v/>
      </c>
      <c r="J276" s="25">
        <f>IF(D276="","",D276-TODAY())</f>
        <v/>
      </c>
    </row>
    <row r="277">
      <c r="A277" s="21" t="n"/>
      <c r="B277" s="21" t="n"/>
      <c r="C277" s="21" t="n"/>
      <c r="D277" s="18" t="n"/>
      <c r="E277" s="21" t="n"/>
      <c r="F277" s="21" t="n"/>
      <c r="G277" s="24" t="n"/>
      <c r="H277" s="18" t="n"/>
      <c r="I277" s="21">
        <f>IF(OR(B277="完成",D277=""),"",IF(TODAY()&gt;D277,"逾期",""))</f>
        <v/>
      </c>
      <c r="J277" s="25">
        <f>IF(D277="","",D277-TODAY())</f>
        <v/>
      </c>
    </row>
    <row r="278">
      <c r="A278" s="21" t="n"/>
      <c r="B278" s="21" t="n"/>
      <c r="C278" s="21" t="n"/>
      <c r="D278" s="18" t="n"/>
      <c r="E278" s="21" t="n"/>
      <c r="F278" s="21" t="n"/>
      <c r="G278" s="24" t="n"/>
      <c r="H278" s="18" t="n"/>
      <c r="I278" s="21">
        <f>IF(OR(B278="完成",D278=""),"",IF(TODAY()&gt;D278,"逾期",""))</f>
        <v/>
      </c>
      <c r="J278" s="25">
        <f>IF(D278="","",D278-TODAY())</f>
        <v/>
      </c>
    </row>
    <row r="279">
      <c r="A279" s="21" t="n"/>
      <c r="B279" s="21" t="n"/>
      <c r="C279" s="21" t="n"/>
      <c r="D279" s="18" t="n"/>
      <c r="E279" s="21" t="n"/>
      <c r="F279" s="21" t="n"/>
      <c r="G279" s="24" t="n"/>
      <c r="H279" s="18" t="n"/>
      <c r="I279" s="21">
        <f>IF(OR(B279="完成",D279=""),"",IF(TODAY()&gt;D279,"逾期",""))</f>
        <v/>
      </c>
      <c r="J279" s="25">
        <f>IF(D279="","",D279-TODAY())</f>
        <v/>
      </c>
    </row>
    <row r="280">
      <c r="A280" s="21" t="n"/>
      <c r="B280" s="21" t="n"/>
      <c r="C280" s="21" t="n"/>
      <c r="D280" s="18" t="n"/>
      <c r="E280" s="21" t="n"/>
      <c r="F280" s="21" t="n"/>
      <c r="G280" s="24" t="n"/>
      <c r="H280" s="18" t="n"/>
      <c r="I280" s="21">
        <f>IF(OR(B280="完成",D280=""),"",IF(TODAY()&gt;D280,"逾期",""))</f>
        <v/>
      </c>
      <c r="J280" s="25">
        <f>IF(D280="","",D280-TODAY())</f>
        <v/>
      </c>
    </row>
    <row r="281">
      <c r="A281" s="21" t="n"/>
      <c r="B281" s="21" t="n"/>
      <c r="C281" s="21" t="n"/>
      <c r="D281" s="18" t="n"/>
      <c r="E281" s="21" t="n"/>
      <c r="F281" s="21" t="n"/>
      <c r="G281" s="24" t="n"/>
      <c r="H281" s="18" t="n"/>
      <c r="I281" s="21">
        <f>IF(OR(B281="完成",D281=""),"",IF(TODAY()&gt;D281,"逾期",""))</f>
        <v/>
      </c>
      <c r="J281" s="25">
        <f>IF(D281="","",D281-TODAY())</f>
        <v/>
      </c>
    </row>
    <row r="282">
      <c r="A282" s="21" t="n"/>
      <c r="B282" s="21" t="n"/>
      <c r="C282" s="21" t="n"/>
      <c r="D282" s="18" t="n"/>
      <c r="E282" s="21" t="n"/>
      <c r="F282" s="21" t="n"/>
      <c r="G282" s="24" t="n"/>
      <c r="H282" s="18" t="n"/>
      <c r="I282" s="21">
        <f>IF(OR(B282="完成",D282=""),"",IF(TODAY()&gt;D282,"逾期",""))</f>
        <v/>
      </c>
      <c r="J282" s="25">
        <f>IF(D282="","",D282-TODAY())</f>
        <v/>
      </c>
    </row>
    <row r="283">
      <c r="A283" s="21" t="n"/>
      <c r="B283" s="21" t="n"/>
      <c r="C283" s="21" t="n"/>
      <c r="D283" s="18" t="n"/>
      <c r="E283" s="21" t="n"/>
      <c r="F283" s="21" t="n"/>
      <c r="G283" s="24" t="n"/>
      <c r="H283" s="18" t="n"/>
      <c r="I283" s="21">
        <f>IF(OR(B283="完成",D283=""),"",IF(TODAY()&gt;D283,"逾期",""))</f>
        <v/>
      </c>
      <c r="J283" s="25">
        <f>IF(D283="","",D283-TODAY())</f>
        <v/>
      </c>
    </row>
    <row r="284">
      <c r="A284" s="21" t="n"/>
      <c r="B284" s="21" t="n"/>
      <c r="C284" s="21" t="n"/>
      <c r="D284" s="18" t="n"/>
      <c r="E284" s="21" t="n"/>
      <c r="F284" s="21" t="n"/>
      <c r="G284" s="24" t="n"/>
      <c r="H284" s="18" t="n"/>
      <c r="I284" s="21">
        <f>IF(OR(B284="完成",D284=""),"",IF(TODAY()&gt;D284,"逾期",""))</f>
        <v/>
      </c>
      <c r="J284" s="25">
        <f>IF(D284="","",D284-TODAY())</f>
        <v/>
      </c>
    </row>
    <row r="285">
      <c r="A285" s="21" t="n"/>
      <c r="B285" s="21" t="n"/>
      <c r="C285" s="21" t="n"/>
      <c r="D285" s="18" t="n"/>
      <c r="E285" s="21" t="n"/>
      <c r="F285" s="21" t="n"/>
      <c r="G285" s="24" t="n"/>
      <c r="H285" s="18" t="n"/>
      <c r="I285" s="21">
        <f>IF(OR(B285="完成",D285=""),"",IF(TODAY()&gt;D285,"逾期",""))</f>
        <v/>
      </c>
      <c r="J285" s="25">
        <f>IF(D285="","",D285-TODAY())</f>
        <v/>
      </c>
    </row>
    <row r="286">
      <c r="A286" s="21" t="n"/>
      <c r="B286" s="21" t="n"/>
      <c r="C286" s="21" t="n"/>
      <c r="D286" s="18" t="n"/>
      <c r="E286" s="21" t="n"/>
      <c r="F286" s="21" t="n"/>
      <c r="G286" s="24" t="n"/>
      <c r="H286" s="18" t="n"/>
      <c r="I286" s="21">
        <f>IF(OR(B286="完成",D286=""),"",IF(TODAY()&gt;D286,"逾期",""))</f>
        <v/>
      </c>
      <c r="J286" s="25">
        <f>IF(D286="","",D286-TODAY())</f>
        <v/>
      </c>
    </row>
    <row r="287">
      <c r="A287" s="21" t="n"/>
      <c r="B287" s="21" t="n"/>
      <c r="C287" s="21" t="n"/>
      <c r="D287" s="18" t="n"/>
      <c r="E287" s="21" t="n"/>
      <c r="F287" s="21" t="n"/>
      <c r="G287" s="24" t="n"/>
      <c r="H287" s="18" t="n"/>
      <c r="I287" s="21">
        <f>IF(OR(B287="完成",D287=""),"",IF(TODAY()&gt;D287,"逾期",""))</f>
        <v/>
      </c>
      <c r="J287" s="25">
        <f>IF(D287="","",D287-TODAY())</f>
        <v/>
      </c>
    </row>
    <row r="288">
      <c r="A288" s="21" t="n"/>
      <c r="B288" s="21" t="n"/>
      <c r="C288" s="21" t="n"/>
      <c r="D288" s="18" t="n"/>
      <c r="E288" s="21" t="n"/>
      <c r="F288" s="21" t="n"/>
      <c r="G288" s="24" t="n"/>
      <c r="H288" s="18" t="n"/>
      <c r="I288" s="21">
        <f>IF(OR(B288="完成",D288=""),"",IF(TODAY()&gt;D288,"逾期",""))</f>
        <v/>
      </c>
      <c r="J288" s="25">
        <f>IF(D288="","",D288-TODAY())</f>
        <v/>
      </c>
    </row>
    <row r="289">
      <c r="A289" s="21" t="n"/>
      <c r="B289" s="21" t="n"/>
      <c r="C289" s="21" t="n"/>
      <c r="D289" s="18" t="n"/>
      <c r="E289" s="21" t="n"/>
      <c r="F289" s="21" t="n"/>
      <c r="G289" s="24" t="n"/>
      <c r="H289" s="18" t="n"/>
      <c r="I289" s="21">
        <f>IF(OR(B289="完成",D289=""),"",IF(TODAY()&gt;D289,"逾期",""))</f>
        <v/>
      </c>
      <c r="J289" s="25">
        <f>IF(D289="","",D289-TODAY())</f>
        <v/>
      </c>
    </row>
    <row r="290">
      <c r="A290" s="21" t="n"/>
      <c r="B290" s="21" t="n"/>
      <c r="C290" s="21" t="n"/>
      <c r="D290" s="18" t="n"/>
      <c r="E290" s="21" t="n"/>
      <c r="F290" s="21" t="n"/>
      <c r="G290" s="24" t="n"/>
      <c r="H290" s="18" t="n"/>
      <c r="I290" s="21">
        <f>IF(OR(B290="完成",D290=""),"",IF(TODAY()&gt;D290,"逾期",""))</f>
        <v/>
      </c>
      <c r="J290" s="25">
        <f>IF(D290="","",D290-TODAY())</f>
        <v/>
      </c>
    </row>
    <row r="291">
      <c r="A291" s="21" t="n"/>
      <c r="B291" s="21" t="n"/>
      <c r="C291" s="21" t="n"/>
      <c r="D291" s="18" t="n"/>
      <c r="E291" s="21" t="n"/>
      <c r="F291" s="21" t="n"/>
      <c r="G291" s="24" t="n"/>
      <c r="H291" s="18" t="n"/>
      <c r="I291" s="21">
        <f>IF(OR(B291="完成",D291=""),"",IF(TODAY()&gt;D291,"逾期",""))</f>
        <v/>
      </c>
      <c r="J291" s="25">
        <f>IF(D291="","",D291-TODAY())</f>
        <v/>
      </c>
    </row>
    <row r="292">
      <c r="A292" s="21" t="n"/>
      <c r="B292" s="21" t="n"/>
      <c r="C292" s="21" t="n"/>
      <c r="D292" s="18" t="n"/>
      <c r="E292" s="21" t="n"/>
      <c r="F292" s="21" t="n"/>
      <c r="G292" s="24" t="n"/>
      <c r="H292" s="18" t="n"/>
      <c r="I292" s="21">
        <f>IF(OR(B292="完成",D292=""),"",IF(TODAY()&gt;D292,"逾期",""))</f>
        <v/>
      </c>
      <c r="J292" s="25">
        <f>IF(D292="","",D292-TODAY())</f>
        <v/>
      </c>
    </row>
    <row r="293">
      <c r="A293" s="21" t="n"/>
      <c r="B293" s="21" t="n"/>
      <c r="C293" s="21" t="n"/>
      <c r="D293" s="18" t="n"/>
      <c r="E293" s="21" t="n"/>
      <c r="F293" s="21" t="n"/>
      <c r="G293" s="24" t="n"/>
      <c r="H293" s="18" t="n"/>
      <c r="I293" s="21">
        <f>IF(OR(B293="完成",D293=""),"",IF(TODAY()&gt;D293,"逾期",""))</f>
        <v/>
      </c>
      <c r="J293" s="25">
        <f>IF(D293="","",D293-TODAY())</f>
        <v/>
      </c>
    </row>
    <row r="294">
      <c r="A294" s="21" t="n"/>
      <c r="B294" s="21" t="n"/>
      <c r="C294" s="21" t="n"/>
      <c r="D294" s="18" t="n"/>
      <c r="E294" s="21" t="n"/>
      <c r="F294" s="21" t="n"/>
      <c r="G294" s="24" t="n"/>
      <c r="H294" s="18" t="n"/>
      <c r="I294" s="21">
        <f>IF(OR(B294="完成",D294=""),"",IF(TODAY()&gt;D294,"逾期",""))</f>
        <v/>
      </c>
      <c r="J294" s="25">
        <f>IF(D294="","",D294-TODAY())</f>
        <v/>
      </c>
    </row>
    <row r="295">
      <c r="A295" s="21" t="n"/>
      <c r="B295" s="21" t="n"/>
      <c r="C295" s="21" t="n"/>
      <c r="D295" s="18" t="n"/>
      <c r="E295" s="21" t="n"/>
      <c r="F295" s="21" t="n"/>
      <c r="G295" s="24" t="n"/>
      <c r="H295" s="18" t="n"/>
      <c r="I295" s="21">
        <f>IF(OR(B295="完成",D295=""),"",IF(TODAY()&gt;D295,"逾期",""))</f>
        <v/>
      </c>
      <c r="J295" s="25">
        <f>IF(D295="","",D295-TODAY())</f>
        <v/>
      </c>
    </row>
    <row r="296">
      <c r="A296" s="21" t="n"/>
      <c r="B296" s="21" t="n"/>
      <c r="C296" s="21" t="n"/>
      <c r="D296" s="18" t="n"/>
      <c r="E296" s="21" t="n"/>
      <c r="F296" s="21" t="n"/>
      <c r="G296" s="24" t="n"/>
      <c r="H296" s="18" t="n"/>
      <c r="I296" s="21">
        <f>IF(OR(B296="完成",D296=""),"",IF(TODAY()&gt;D296,"逾期",""))</f>
        <v/>
      </c>
      <c r="J296" s="25">
        <f>IF(D296="","",D296-TODAY())</f>
        <v/>
      </c>
    </row>
    <row r="297">
      <c r="A297" s="21" t="n"/>
      <c r="B297" s="21" t="n"/>
      <c r="C297" s="21" t="n"/>
      <c r="D297" s="18" t="n"/>
      <c r="E297" s="21" t="n"/>
      <c r="F297" s="21" t="n"/>
      <c r="G297" s="24" t="n"/>
      <c r="H297" s="18" t="n"/>
      <c r="I297" s="21">
        <f>IF(OR(B297="完成",D297=""),"",IF(TODAY()&gt;D297,"逾期",""))</f>
        <v/>
      </c>
      <c r="J297" s="25">
        <f>IF(D297="","",D297-TODAY())</f>
        <v/>
      </c>
    </row>
    <row r="298">
      <c r="A298" s="21" t="n"/>
      <c r="B298" s="21" t="n"/>
      <c r="C298" s="21" t="n"/>
      <c r="D298" s="18" t="n"/>
      <c r="E298" s="21" t="n"/>
      <c r="F298" s="21" t="n"/>
      <c r="G298" s="24" t="n"/>
      <c r="H298" s="18" t="n"/>
      <c r="I298" s="21">
        <f>IF(OR(B298="完成",D298=""),"",IF(TODAY()&gt;D298,"逾期",""))</f>
        <v/>
      </c>
      <c r="J298" s="25">
        <f>IF(D298="","",D298-TODAY())</f>
        <v/>
      </c>
    </row>
    <row r="299">
      <c r="A299" s="21" t="n"/>
      <c r="B299" s="21" t="n"/>
      <c r="C299" s="21" t="n"/>
      <c r="D299" s="18" t="n"/>
      <c r="E299" s="21" t="n"/>
      <c r="F299" s="21" t="n"/>
      <c r="G299" s="24" t="n"/>
      <c r="H299" s="18" t="n"/>
      <c r="I299" s="21">
        <f>IF(OR(B299="完成",D299=""),"",IF(TODAY()&gt;D299,"逾期",""))</f>
        <v/>
      </c>
      <c r="J299" s="25">
        <f>IF(D299="","",D299-TODAY())</f>
        <v/>
      </c>
    </row>
    <row r="300">
      <c r="A300" s="21" t="n"/>
      <c r="B300" s="21" t="n"/>
      <c r="C300" s="21" t="n"/>
      <c r="D300" s="18" t="n"/>
      <c r="E300" s="21" t="n"/>
      <c r="F300" s="21" t="n"/>
      <c r="G300" s="24" t="n"/>
      <c r="H300" s="18" t="n"/>
      <c r="I300" s="21">
        <f>IF(OR(B300="完成",D300=""),"",IF(TODAY()&gt;D300,"逾期",""))</f>
        <v/>
      </c>
      <c r="J300" s="25">
        <f>IF(D300="","",D300-TODAY())</f>
        <v/>
      </c>
    </row>
    <row r="301">
      <c r="A301" s="21" t="n"/>
      <c r="B301" s="21" t="n"/>
      <c r="C301" s="21" t="n"/>
      <c r="D301" s="18" t="n"/>
      <c r="E301" s="21" t="n"/>
      <c r="F301" s="21" t="n"/>
      <c r="G301" s="24" t="n"/>
      <c r="H301" s="18" t="n"/>
      <c r="I301" s="21">
        <f>IF(OR(B301="完成",D301=""),"",IF(TODAY()&gt;D301,"逾期",""))</f>
        <v/>
      </c>
      <c r="J301" s="25">
        <f>IF(D301="","",D301-TODAY())</f>
        <v/>
      </c>
    </row>
    <row r="302">
      <c r="A302" s="21" t="n"/>
      <c r="B302" s="21" t="n"/>
      <c r="C302" s="21" t="n"/>
      <c r="D302" s="18" t="n"/>
      <c r="E302" s="21" t="n"/>
      <c r="F302" s="21" t="n"/>
      <c r="G302" s="24" t="n"/>
      <c r="H302" s="18" t="n"/>
      <c r="I302" s="21">
        <f>IF(OR(B302="完成",D302=""),"",IF(TODAY()&gt;D302,"逾期",""))</f>
        <v/>
      </c>
      <c r="J302" s="25">
        <f>IF(D302="","",D302-TODAY())</f>
        <v/>
      </c>
    </row>
    <row r="303">
      <c r="A303" s="21" t="n"/>
      <c r="B303" s="21" t="n"/>
      <c r="C303" s="21" t="n"/>
      <c r="D303" s="18" t="n"/>
      <c r="E303" s="21" t="n"/>
      <c r="F303" s="21" t="n"/>
      <c r="G303" s="24" t="n"/>
      <c r="H303" s="18" t="n"/>
      <c r="I303" s="21">
        <f>IF(OR(B303="完成",D303=""),"",IF(TODAY()&gt;D303,"逾期",""))</f>
        <v/>
      </c>
      <c r="J303" s="25">
        <f>IF(D303="","",D303-TODAY())</f>
        <v/>
      </c>
    </row>
    <row r="304">
      <c r="A304" s="21" t="n"/>
      <c r="B304" s="21" t="n"/>
      <c r="C304" s="21" t="n"/>
      <c r="D304" s="18" t="n"/>
      <c r="E304" s="21" t="n"/>
      <c r="F304" s="21" t="n"/>
      <c r="G304" s="24" t="n"/>
      <c r="H304" s="18" t="n"/>
      <c r="I304" s="21">
        <f>IF(OR(B304="完成",D304=""),"",IF(TODAY()&gt;D304,"逾期",""))</f>
        <v/>
      </c>
      <c r="J304" s="25">
        <f>IF(D304="","",D304-TODAY())</f>
        <v/>
      </c>
    </row>
    <row r="305">
      <c r="A305" s="21" t="n"/>
      <c r="B305" s="21" t="n"/>
      <c r="C305" s="21" t="n"/>
      <c r="D305" s="18" t="n"/>
      <c r="E305" s="21" t="n"/>
      <c r="F305" s="21" t="n"/>
      <c r="G305" s="24" t="n"/>
      <c r="H305" s="18" t="n"/>
      <c r="I305" s="21">
        <f>IF(OR(B305="完成",D305=""),"",IF(TODAY()&gt;D305,"逾期",""))</f>
        <v/>
      </c>
      <c r="J305" s="25">
        <f>IF(D305="","",D305-TODAY())</f>
        <v/>
      </c>
    </row>
    <row r="306">
      <c r="A306" s="21" t="n"/>
      <c r="B306" s="21" t="n"/>
      <c r="C306" s="21" t="n"/>
      <c r="D306" s="18" t="n"/>
      <c r="E306" s="21" t="n"/>
      <c r="F306" s="21" t="n"/>
      <c r="G306" s="24" t="n"/>
      <c r="H306" s="18" t="n"/>
      <c r="I306" s="21">
        <f>IF(OR(B306="完成",D306=""),"",IF(TODAY()&gt;D306,"逾期",""))</f>
        <v/>
      </c>
      <c r="J306" s="25">
        <f>IF(D306="","",D306-TODAY())</f>
        <v/>
      </c>
    </row>
    <row r="307">
      <c r="A307" s="21" t="n"/>
      <c r="B307" s="21" t="n"/>
      <c r="C307" s="21" t="n"/>
      <c r="D307" s="18" t="n"/>
      <c r="E307" s="21" t="n"/>
      <c r="F307" s="21" t="n"/>
      <c r="G307" s="24" t="n"/>
      <c r="H307" s="18" t="n"/>
      <c r="I307" s="21">
        <f>IF(OR(B307="完成",D307=""),"",IF(TODAY()&gt;D307,"逾期",""))</f>
        <v/>
      </c>
      <c r="J307" s="25">
        <f>IF(D307="","",D307-TODAY())</f>
        <v/>
      </c>
    </row>
    <row r="308">
      <c r="A308" s="21" t="n"/>
      <c r="B308" s="21" t="n"/>
      <c r="C308" s="21" t="n"/>
      <c r="D308" s="18" t="n"/>
      <c r="E308" s="21" t="n"/>
      <c r="F308" s="21" t="n"/>
      <c r="G308" s="24" t="n"/>
      <c r="H308" s="18" t="n"/>
      <c r="I308" s="21">
        <f>IF(OR(B308="完成",D308=""),"",IF(TODAY()&gt;D308,"逾期",""))</f>
        <v/>
      </c>
      <c r="J308" s="25">
        <f>IF(D308="","",D308-TODAY())</f>
        <v/>
      </c>
    </row>
    <row r="309">
      <c r="A309" s="21" t="n"/>
      <c r="B309" s="21" t="n"/>
      <c r="C309" s="21" t="n"/>
      <c r="D309" s="18" t="n"/>
      <c r="E309" s="21" t="n"/>
      <c r="F309" s="21" t="n"/>
      <c r="G309" s="24" t="n"/>
      <c r="H309" s="18" t="n"/>
      <c r="I309" s="21">
        <f>IF(OR(B309="完成",D309=""),"",IF(TODAY()&gt;D309,"逾期",""))</f>
        <v/>
      </c>
      <c r="J309" s="25">
        <f>IF(D309="","",D309-TODAY())</f>
        <v/>
      </c>
    </row>
    <row r="310">
      <c r="A310" s="21" t="n"/>
      <c r="B310" s="21" t="n"/>
      <c r="C310" s="21" t="n"/>
      <c r="D310" s="18" t="n"/>
      <c r="E310" s="21" t="n"/>
      <c r="F310" s="21" t="n"/>
      <c r="G310" s="24" t="n"/>
      <c r="H310" s="18" t="n"/>
      <c r="I310" s="21">
        <f>IF(OR(B310="完成",D310=""),"",IF(TODAY()&gt;D310,"逾期",""))</f>
        <v/>
      </c>
      <c r="J310" s="25">
        <f>IF(D310="","",D310-TODAY())</f>
        <v/>
      </c>
    </row>
    <row r="311">
      <c r="A311" s="21" t="n"/>
      <c r="B311" s="21" t="n"/>
      <c r="C311" s="21" t="n"/>
      <c r="D311" s="18" t="n"/>
      <c r="E311" s="21" t="n"/>
      <c r="F311" s="21" t="n"/>
      <c r="G311" s="24" t="n"/>
      <c r="H311" s="18" t="n"/>
      <c r="I311" s="21">
        <f>IF(OR(B311="完成",D311=""),"",IF(TODAY()&gt;D311,"逾期",""))</f>
        <v/>
      </c>
      <c r="J311" s="25">
        <f>IF(D311="","",D311-TODAY())</f>
        <v/>
      </c>
    </row>
    <row r="312">
      <c r="A312" s="21" t="n"/>
      <c r="B312" s="21" t="n"/>
      <c r="C312" s="21" t="n"/>
      <c r="D312" s="18" t="n"/>
      <c r="E312" s="21" t="n"/>
      <c r="F312" s="21" t="n"/>
      <c r="G312" s="24" t="n"/>
      <c r="H312" s="18" t="n"/>
      <c r="I312" s="21">
        <f>IF(OR(B312="完成",D312=""),"",IF(TODAY()&gt;D312,"逾期",""))</f>
        <v/>
      </c>
      <c r="J312" s="25">
        <f>IF(D312="","",D312-TODAY())</f>
        <v/>
      </c>
    </row>
    <row r="313">
      <c r="A313" s="21" t="n"/>
      <c r="B313" s="21" t="n"/>
      <c r="C313" s="21" t="n"/>
      <c r="D313" s="18" t="n"/>
      <c r="E313" s="21" t="n"/>
      <c r="F313" s="21" t="n"/>
      <c r="G313" s="24" t="n"/>
      <c r="H313" s="18" t="n"/>
      <c r="I313" s="21">
        <f>IF(OR(B313="完成",D313=""),"",IF(TODAY()&gt;D313,"逾期",""))</f>
        <v/>
      </c>
      <c r="J313" s="25">
        <f>IF(D313="","",D313-TODAY())</f>
        <v/>
      </c>
    </row>
    <row r="314">
      <c r="A314" s="21" t="n"/>
      <c r="B314" s="21" t="n"/>
      <c r="C314" s="21" t="n"/>
      <c r="D314" s="18" t="n"/>
      <c r="E314" s="21" t="n"/>
      <c r="F314" s="21" t="n"/>
      <c r="G314" s="24" t="n"/>
      <c r="H314" s="18" t="n"/>
      <c r="I314" s="21">
        <f>IF(OR(B314="完成",D314=""),"",IF(TODAY()&gt;D314,"逾期",""))</f>
        <v/>
      </c>
      <c r="J314" s="25">
        <f>IF(D314="","",D314-TODAY())</f>
        <v/>
      </c>
    </row>
    <row r="315">
      <c r="A315" s="21" t="n"/>
      <c r="B315" s="21" t="n"/>
      <c r="C315" s="21" t="n"/>
      <c r="D315" s="18" t="n"/>
      <c r="E315" s="21" t="n"/>
      <c r="F315" s="21" t="n"/>
      <c r="G315" s="24" t="n"/>
      <c r="H315" s="18" t="n"/>
      <c r="I315" s="21">
        <f>IF(OR(B315="完成",D315=""),"",IF(TODAY()&gt;D315,"逾期",""))</f>
        <v/>
      </c>
      <c r="J315" s="25">
        <f>IF(D315="","",D315-TODAY())</f>
        <v/>
      </c>
    </row>
    <row r="316">
      <c r="A316" s="21" t="n"/>
      <c r="B316" s="21" t="n"/>
      <c r="C316" s="21" t="n"/>
      <c r="D316" s="18" t="n"/>
      <c r="E316" s="21" t="n"/>
      <c r="F316" s="21" t="n"/>
      <c r="G316" s="24" t="n"/>
      <c r="H316" s="18" t="n"/>
      <c r="I316" s="21">
        <f>IF(OR(B316="完成",D316=""),"",IF(TODAY()&gt;D316,"逾期",""))</f>
        <v/>
      </c>
      <c r="J316" s="25">
        <f>IF(D316="","",D316-TODAY())</f>
        <v/>
      </c>
    </row>
    <row r="317">
      <c r="A317" s="21" t="n"/>
      <c r="B317" s="21" t="n"/>
      <c r="C317" s="21" t="n"/>
      <c r="D317" s="18" t="n"/>
      <c r="E317" s="21" t="n"/>
      <c r="F317" s="21" t="n"/>
      <c r="G317" s="24" t="n"/>
      <c r="H317" s="18" t="n"/>
      <c r="I317" s="21">
        <f>IF(OR(B317="完成",D317=""),"",IF(TODAY()&gt;D317,"逾期",""))</f>
        <v/>
      </c>
      <c r="J317" s="25">
        <f>IF(D317="","",D317-TODAY())</f>
        <v/>
      </c>
    </row>
    <row r="318">
      <c r="A318" s="21" t="n"/>
      <c r="B318" s="21" t="n"/>
      <c r="C318" s="21" t="n"/>
      <c r="D318" s="18" t="n"/>
      <c r="E318" s="21" t="n"/>
      <c r="F318" s="21" t="n"/>
      <c r="G318" s="24" t="n"/>
      <c r="H318" s="18" t="n"/>
      <c r="I318" s="21">
        <f>IF(OR(B318="完成",D318=""),"",IF(TODAY()&gt;D318,"逾期",""))</f>
        <v/>
      </c>
      <c r="J318" s="25">
        <f>IF(D318="","",D318-TODAY())</f>
        <v/>
      </c>
    </row>
    <row r="319">
      <c r="A319" s="21" t="n"/>
      <c r="B319" s="21" t="n"/>
      <c r="C319" s="21" t="n"/>
      <c r="D319" s="18" t="n"/>
      <c r="E319" s="21" t="n"/>
      <c r="F319" s="21" t="n"/>
      <c r="G319" s="24" t="n"/>
      <c r="H319" s="18" t="n"/>
      <c r="I319" s="21">
        <f>IF(OR(B319="完成",D319=""),"",IF(TODAY()&gt;D319,"逾期",""))</f>
        <v/>
      </c>
      <c r="J319" s="25">
        <f>IF(D319="","",D319-TODAY())</f>
        <v/>
      </c>
    </row>
    <row r="320">
      <c r="A320" s="21" t="n"/>
      <c r="B320" s="21" t="n"/>
      <c r="C320" s="21" t="n"/>
      <c r="D320" s="18" t="n"/>
      <c r="E320" s="21" t="n"/>
      <c r="F320" s="21" t="n"/>
      <c r="G320" s="24" t="n"/>
      <c r="H320" s="18" t="n"/>
      <c r="I320" s="21">
        <f>IF(OR(B320="完成",D320=""),"",IF(TODAY()&gt;D320,"逾期",""))</f>
        <v/>
      </c>
      <c r="J320" s="25">
        <f>IF(D320="","",D320-TODAY())</f>
        <v/>
      </c>
    </row>
    <row r="321">
      <c r="A321" s="21" t="n"/>
      <c r="B321" s="21" t="n"/>
      <c r="C321" s="21" t="n"/>
      <c r="D321" s="18" t="n"/>
      <c r="E321" s="21" t="n"/>
      <c r="F321" s="21" t="n"/>
      <c r="G321" s="24" t="n"/>
      <c r="H321" s="18" t="n"/>
      <c r="I321" s="21">
        <f>IF(OR(B321="完成",D321=""),"",IF(TODAY()&gt;D321,"逾期",""))</f>
        <v/>
      </c>
      <c r="J321" s="25">
        <f>IF(D321="","",D321-TODAY())</f>
        <v/>
      </c>
    </row>
    <row r="322">
      <c r="A322" s="21" t="n"/>
      <c r="B322" s="21" t="n"/>
      <c r="C322" s="21" t="n"/>
      <c r="D322" s="18" t="n"/>
      <c r="E322" s="21" t="n"/>
      <c r="F322" s="21" t="n"/>
      <c r="G322" s="24" t="n"/>
      <c r="H322" s="18" t="n"/>
      <c r="I322" s="21">
        <f>IF(OR(B322="完成",D322=""),"",IF(TODAY()&gt;D322,"逾期",""))</f>
        <v/>
      </c>
      <c r="J322" s="25">
        <f>IF(D322="","",D322-TODAY())</f>
        <v/>
      </c>
    </row>
    <row r="323">
      <c r="A323" s="21" t="n"/>
      <c r="B323" s="21" t="n"/>
      <c r="C323" s="21" t="n"/>
      <c r="D323" s="18" t="n"/>
      <c r="E323" s="21" t="n"/>
      <c r="F323" s="21" t="n"/>
      <c r="G323" s="24" t="n"/>
      <c r="H323" s="18" t="n"/>
      <c r="I323" s="21">
        <f>IF(OR(B323="完成",D323=""),"",IF(TODAY()&gt;D323,"逾期",""))</f>
        <v/>
      </c>
      <c r="J323" s="25">
        <f>IF(D323="","",D323-TODAY())</f>
        <v/>
      </c>
    </row>
    <row r="324">
      <c r="A324" s="21" t="n"/>
      <c r="B324" s="21" t="n"/>
      <c r="C324" s="21" t="n"/>
      <c r="D324" s="18" t="n"/>
      <c r="E324" s="21" t="n"/>
      <c r="F324" s="21" t="n"/>
      <c r="G324" s="24" t="n"/>
      <c r="H324" s="18" t="n"/>
      <c r="I324" s="21">
        <f>IF(OR(B324="完成",D324=""),"",IF(TODAY()&gt;D324,"逾期",""))</f>
        <v/>
      </c>
      <c r="J324" s="25">
        <f>IF(D324="","",D324-TODAY())</f>
        <v/>
      </c>
    </row>
    <row r="325">
      <c r="A325" s="21" t="n"/>
      <c r="B325" s="21" t="n"/>
      <c r="C325" s="21" t="n"/>
      <c r="D325" s="18" t="n"/>
      <c r="E325" s="21" t="n"/>
      <c r="F325" s="21" t="n"/>
      <c r="G325" s="24" t="n"/>
      <c r="H325" s="18" t="n"/>
      <c r="I325" s="21">
        <f>IF(OR(B325="完成",D325=""),"",IF(TODAY()&gt;D325,"逾期",""))</f>
        <v/>
      </c>
      <c r="J325" s="25">
        <f>IF(D325="","",D325-TODAY())</f>
        <v/>
      </c>
    </row>
    <row r="326">
      <c r="A326" s="21" t="n"/>
      <c r="B326" s="21" t="n"/>
      <c r="C326" s="21" t="n"/>
      <c r="D326" s="18" t="n"/>
      <c r="E326" s="21" t="n"/>
      <c r="F326" s="21" t="n"/>
      <c r="G326" s="24" t="n"/>
      <c r="H326" s="18" t="n"/>
      <c r="I326" s="21">
        <f>IF(OR(B326="完成",D326=""),"",IF(TODAY()&gt;D326,"逾期",""))</f>
        <v/>
      </c>
      <c r="J326" s="25">
        <f>IF(D326="","",D326-TODAY())</f>
        <v/>
      </c>
    </row>
    <row r="327">
      <c r="A327" s="21" t="n"/>
      <c r="B327" s="21" t="n"/>
      <c r="C327" s="21" t="n"/>
      <c r="D327" s="18" t="n"/>
      <c r="E327" s="21" t="n"/>
      <c r="F327" s="21" t="n"/>
      <c r="G327" s="24" t="n"/>
      <c r="H327" s="18" t="n"/>
      <c r="I327" s="21">
        <f>IF(OR(B327="完成",D327=""),"",IF(TODAY()&gt;D327,"逾期",""))</f>
        <v/>
      </c>
      <c r="J327" s="25">
        <f>IF(D327="","",D327-TODAY())</f>
        <v/>
      </c>
    </row>
    <row r="328">
      <c r="A328" s="21" t="n"/>
      <c r="B328" s="21" t="n"/>
      <c r="C328" s="21" t="n"/>
      <c r="D328" s="18" t="n"/>
      <c r="E328" s="21" t="n"/>
      <c r="F328" s="21" t="n"/>
      <c r="G328" s="24" t="n"/>
      <c r="H328" s="18" t="n"/>
      <c r="I328" s="21">
        <f>IF(OR(B328="完成",D328=""),"",IF(TODAY()&gt;D328,"逾期",""))</f>
        <v/>
      </c>
      <c r="J328" s="25">
        <f>IF(D328="","",D328-TODAY())</f>
        <v/>
      </c>
    </row>
    <row r="329">
      <c r="A329" s="21" t="n"/>
      <c r="B329" s="21" t="n"/>
      <c r="C329" s="21" t="n"/>
      <c r="D329" s="18" t="n"/>
      <c r="E329" s="21" t="n"/>
      <c r="F329" s="21" t="n"/>
      <c r="G329" s="24" t="n"/>
      <c r="H329" s="18" t="n"/>
      <c r="I329" s="21">
        <f>IF(OR(B329="完成",D329=""),"",IF(TODAY()&gt;D329,"逾期",""))</f>
        <v/>
      </c>
      <c r="J329" s="25">
        <f>IF(D329="","",D329-TODAY())</f>
        <v/>
      </c>
    </row>
    <row r="330">
      <c r="A330" s="21" t="n"/>
      <c r="B330" s="21" t="n"/>
      <c r="C330" s="21" t="n"/>
      <c r="D330" s="18" t="n"/>
      <c r="E330" s="21" t="n"/>
      <c r="F330" s="21" t="n"/>
      <c r="G330" s="24" t="n"/>
      <c r="H330" s="18" t="n"/>
      <c r="I330" s="21">
        <f>IF(OR(B330="完成",D330=""),"",IF(TODAY()&gt;D330,"逾期",""))</f>
        <v/>
      </c>
      <c r="J330" s="25">
        <f>IF(D330="","",D330-TODAY())</f>
        <v/>
      </c>
    </row>
    <row r="331">
      <c r="A331" s="21" t="n"/>
      <c r="B331" s="21" t="n"/>
      <c r="C331" s="21" t="n"/>
      <c r="D331" s="18" t="n"/>
      <c r="E331" s="21" t="n"/>
      <c r="F331" s="21" t="n"/>
      <c r="G331" s="24" t="n"/>
      <c r="H331" s="18" t="n"/>
      <c r="I331" s="21">
        <f>IF(OR(B331="完成",D331=""),"",IF(TODAY()&gt;D331,"逾期",""))</f>
        <v/>
      </c>
      <c r="J331" s="25">
        <f>IF(D331="","",D331-TODAY())</f>
        <v/>
      </c>
    </row>
    <row r="332">
      <c r="A332" s="21" t="n"/>
      <c r="B332" s="21" t="n"/>
      <c r="C332" s="21" t="n"/>
      <c r="D332" s="18" t="n"/>
      <c r="E332" s="21" t="n"/>
      <c r="F332" s="21" t="n"/>
      <c r="G332" s="24" t="n"/>
      <c r="H332" s="18" t="n"/>
      <c r="I332" s="21">
        <f>IF(OR(B332="完成",D332=""),"",IF(TODAY()&gt;D332,"逾期",""))</f>
        <v/>
      </c>
      <c r="J332" s="25">
        <f>IF(D332="","",D332-TODAY())</f>
        <v/>
      </c>
    </row>
    <row r="333">
      <c r="A333" s="21" t="n"/>
      <c r="B333" s="21" t="n"/>
      <c r="C333" s="21" t="n"/>
      <c r="D333" s="18" t="n"/>
      <c r="E333" s="21" t="n"/>
      <c r="F333" s="21" t="n"/>
      <c r="G333" s="24" t="n"/>
      <c r="H333" s="18" t="n"/>
      <c r="I333" s="21">
        <f>IF(OR(B333="完成",D333=""),"",IF(TODAY()&gt;D333,"逾期",""))</f>
        <v/>
      </c>
      <c r="J333" s="25">
        <f>IF(D333="","",D333-TODAY())</f>
        <v/>
      </c>
    </row>
    <row r="334">
      <c r="A334" s="21" t="n"/>
      <c r="B334" s="21" t="n"/>
      <c r="C334" s="21" t="n"/>
      <c r="D334" s="18" t="n"/>
      <c r="E334" s="21" t="n"/>
      <c r="F334" s="21" t="n"/>
      <c r="G334" s="24" t="n"/>
      <c r="H334" s="18" t="n"/>
      <c r="I334" s="21">
        <f>IF(OR(B334="完成",D334=""),"",IF(TODAY()&gt;D334,"逾期",""))</f>
        <v/>
      </c>
      <c r="J334" s="25">
        <f>IF(D334="","",D334-TODAY())</f>
        <v/>
      </c>
    </row>
    <row r="335">
      <c r="A335" s="21" t="n"/>
      <c r="B335" s="21" t="n"/>
      <c r="C335" s="21" t="n"/>
      <c r="D335" s="18" t="n"/>
      <c r="E335" s="21" t="n"/>
      <c r="F335" s="21" t="n"/>
      <c r="G335" s="24" t="n"/>
      <c r="H335" s="18" t="n"/>
      <c r="I335" s="21">
        <f>IF(OR(B335="完成",D335=""),"",IF(TODAY()&gt;D335,"逾期",""))</f>
        <v/>
      </c>
      <c r="J335" s="25">
        <f>IF(D335="","",D335-TODAY())</f>
        <v/>
      </c>
    </row>
    <row r="336">
      <c r="A336" s="21" t="n"/>
      <c r="B336" s="21" t="n"/>
      <c r="C336" s="21" t="n"/>
      <c r="D336" s="18" t="n"/>
      <c r="E336" s="21" t="n"/>
      <c r="F336" s="21" t="n"/>
      <c r="G336" s="24" t="n"/>
      <c r="H336" s="18" t="n"/>
      <c r="I336" s="21">
        <f>IF(OR(B336="完成",D336=""),"",IF(TODAY()&gt;D336,"逾期",""))</f>
        <v/>
      </c>
      <c r="J336" s="25">
        <f>IF(D336="","",D336-TODAY())</f>
        <v/>
      </c>
    </row>
    <row r="337">
      <c r="A337" s="21" t="n"/>
      <c r="B337" s="21" t="n"/>
      <c r="C337" s="21" t="n"/>
      <c r="D337" s="18" t="n"/>
      <c r="E337" s="21" t="n"/>
      <c r="F337" s="21" t="n"/>
      <c r="G337" s="24" t="n"/>
      <c r="H337" s="18" t="n"/>
      <c r="I337" s="21">
        <f>IF(OR(B337="完成",D337=""),"",IF(TODAY()&gt;D337,"逾期",""))</f>
        <v/>
      </c>
      <c r="J337" s="25">
        <f>IF(D337="","",D337-TODAY())</f>
        <v/>
      </c>
    </row>
    <row r="338">
      <c r="A338" s="21" t="n"/>
      <c r="B338" s="21" t="n"/>
      <c r="C338" s="21" t="n"/>
      <c r="D338" s="18" t="n"/>
      <c r="E338" s="21" t="n"/>
      <c r="F338" s="21" t="n"/>
      <c r="G338" s="24" t="n"/>
      <c r="H338" s="18" t="n"/>
      <c r="I338" s="21">
        <f>IF(OR(B338="完成",D338=""),"",IF(TODAY()&gt;D338,"逾期",""))</f>
        <v/>
      </c>
      <c r="J338" s="25">
        <f>IF(D338="","",D338-TODAY())</f>
        <v/>
      </c>
    </row>
    <row r="339">
      <c r="A339" s="21" t="n"/>
      <c r="B339" s="21" t="n"/>
      <c r="C339" s="21" t="n"/>
      <c r="D339" s="18" t="n"/>
      <c r="E339" s="21" t="n"/>
      <c r="F339" s="21" t="n"/>
      <c r="G339" s="24" t="n"/>
      <c r="H339" s="18" t="n"/>
      <c r="I339" s="21">
        <f>IF(OR(B339="完成",D339=""),"",IF(TODAY()&gt;D339,"逾期",""))</f>
        <v/>
      </c>
      <c r="J339" s="25">
        <f>IF(D339="","",D339-TODAY())</f>
        <v/>
      </c>
    </row>
    <row r="340">
      <c r="A340" s="21" t="n"/>
      <c r="B340" s="21" t="n"/>
      <c r="C340" s="21" t="n"/>
      <c r="D340" s="18" t="n"/>
      <c r="E340" s="21" t="n"/>
      <c r="F340" s="21" t="n"/>
      <c r="G340" s="24" t="n"/>
      <c r="H340" s="18" t="n"/>
      <c r="I340" s="21">
        <f>IF(OR(B340="完成",D340=""),"",IF(TODAY()&gt;D340,"逾期",""))</f>
        <v/>
      </c>
      <c r="J340" s="25">
        <f>IF(D340="","",D340-TODAY())</f>
        <v/>
      </c>
    </row>
    <row r="341">
      <c r="A341" s="21" t="n"/>
      <c r="B341" s="21" t="n"/>
      <c r="C341" s="21" t="n"/>
      <c r="D341" s="18" t="n"/>
      <c r="E341" s="21" t="n"/>
      <c r="F341" s="21" t="n"/>
      <c r="G341" s="24" t="n"/>
      <c r="H341" s="18" t="n"/>
      <c r="I341" s="21">
        <f>IF(OR(B341="完成",D341=""),"",IF(TODAY()&gt;D341,"逾期",""))</f>
        <v/>
      </c>
      <c r="J341" s="25">
        <f>IF(D341="","",D341-TODAY())</f>
        <v/>
      </c>
    </row>
    <row r="342">
      <c r="A342" s="21" t="n"/>
      <c r="B342" s="21" t="n"/>
      <c r="C342" s="21" t="n"/>
      <c r="D342" s="18" t="n"/>
      <c r="E342" s="21" t="n"/>
      <c r="F342" s="21" t="n"/>
      <c r="G342" s="24" t="n"/>
      <c r="H342" s="18" t="n"/>
      <c r="I342" s="21">
        <f>IF(OR(B342="完成",D342=""),"",IF(TODAY()&gt;D342,"逾期",""))</f>
        <v/>
      </c>
      <c r="J342" s="25">
        <f>IF(D342="","",D342-TODAY())</f>
        <v/>
      </c>
    </row>
    <row r="343">
      <c r="A343" s="21" t="n"/>
      <c r="B343" s="21" t="n"/>
      <c r="C343" s="21" t="n"/>
      <c r="D343" s="18" t="n"/>
      <c r="E343" s="21" t="n"/>
      <c r="F343" s="21" t="n"/>
      <c r="G343" s="24" t="n"/>
      <c r="H343" s="18" t="n"/>
      <c r="I343" s="21">
        <f>IF(OR(B343="完成",D343=""),"",IF(TODAY()&gt;D343,"逾期",""))</f>
        <v/>
      </c>
      <c r="J343" s="25">
        <f>IF(D343="","",D343-TODAY())</f>
        <v/>
      </c>
    </row>
    <row r="344">
      <c r="A344" s="21" t="n"/>
      <c r="B344" s="21" t="n"/>
      <c r="C344" s="21" t="n"/>
      <c r="D344" s="18" t="n"/>
      <c r="E344" s="21" t="n"/>
      <c r="F344" s="21" t="n"/>
      <c r="G344" s="24" t="n"/>
      <c r="H344" s="18" t="n"/>
      <c r="I344" s="21">
        <f>IF(OR(B344="完成",D344=""),"",IF(TODAY()&gt;D344,"逾期",""))</f>
        <v/>
      </c>
      <c r="J344" s="25">
        <f>IF(D344="","",D344-TODAY())</f>
        <v/>
      </c>
    </row>
    <row r="345">
      <c r="A345" s="21" t="n"/>
      <c r="B345" s="21" t="n"/>
      <c r="C345" s="21" t="n"/>
      <c r="D345" s="18" t="n"/>
      <c r="E345" s="21" t="n"/>
      <c r="F345" s="21" t="n"/>
      <c r="G345" s="24" t="n"/>
      <c r="H345" s="18" t="n"/>
      <c r="I345" s="21">
        <f>IF(OR(B345="完成",D345=""),"",IF(TODAY()&gt;D345,"逾期",""))</f>
        <v/>
      </c>
      <c r="J345" s="25">
        <f>IF(D345="","",D345-TODAY())</f>
        <v/>
      </c>
    </row>
    <row r="346">
      <c r="A346" s="21" t="n"/>
      <c r="B346" s="21" t="n"/>
      <c r="C346" s="21" t="n"/>
      <c r="D346" s="18" t="n"/>
      <c r="E346" s="21" t="n"/>
      <c r="F346" s="21" t="n"/>
      <c r="G346" s="24" t="n"/>
      <c r="H346" s="18" t="n"/>
      <c r="I346" s="21">
        <f>IF(OR(B346="完成",D346=""),"",IF(TODAY()&gt;D346,"逾期",""))</f>
        <v/>
      </c>
      <c r="J346" s="25">
        <f>IF(D346="","",D346-TODAY())</f>
        <v/>
      </c>
    </row>
    <row r="347">
      <c r="A347" s="21" t="n"/>
      <c r="B347" s="21" t="n"/>
      <c r="C347" s="21" t="n"/>
      <c r="D347" s="18" t="n"/>
      <c r="E347" s="21" t="n"/>
      <c r="F347" s="21" t="n"/>
      <c r="G347" s="24" t="n"/>
      <c r="H347" s="18" t="n"/>
      <c r="I347" s="21">
        <f>IF(OR(B347="完成",D347=""),"",IF(TODAY()&gt;D347,"逾期",""))</f>
        <v/>
      </c>
      <c r="J347" s="25">
        <f>IF(D347="","",D347-TODAY())</f>
        <v/>
      </c>
    </row>
    <row r="348">
      <c r="A348" s="21" t="n"/>
      <c r="B348" s="21" t="n"/>
      <c r="C348" s="21" t="n"/>
      <c r="D348" s="18" t="n"/>
      <c r="E348" s="21" t="n"/>
      <c r="F348" s="21" t="n"/>
      <c r="G348" s="24" t="n"/>
      <c r="H348" s="18" t="n"/>
      <c r="I348" s="21">
        <f>IF(OR(B348="完成",D348=""),"",IF(TODAY()&gt;D348,"逾期",""))</f>
        <v/>
      </c>
      <c r="J348" s="25">
        <f>IF(D348="","",D348-TODAY())</f>
        <v/>
      </c>
    </row>
    <row r="349">
      <c r="A349" s="21" t="n"/>
      <c r="B349" s="21" t="n"/>
      <c r="C349" s="21" t="n"/>
      <c r="D349" s="18" t="n"/>
      <c r="E349" s="21" t="n"/>
      <c r="F349" s="21" t="n"/>
      <c r="G349" s="24" t="n"/>
      <c r="H349" s="18" t="n"/>
      <c r="I349" s="21">
        <f>IF(OR(B349="完成",D349=""),"",IF(TODAY()&gt;D349,"逾期",""))</f>
        <v/>
      </c>
      <c r="J349" s="25">
        <f>IF(D349="","",D349-TODAY())</f>
        <v/>
      </c>
    </row>
    <row r="350">
      <c r="A350" s="21" t="n"/>
      <c r="B350" s="21" t="n"/>
      <c r="C350" s="21" t="n"/>
      <c r="D350" s="18" t="n"/>
      <c r="E350" s="21" t="n"/>
      <c r="F350" s="21" t="n"/>
      <c r="G350" s="24" t="n"/>
      <c r="H350" s="18" t="n"/>
      <c r="I350" s="21">
        <f>IF(OR(B350="完成",D350=""),"",IF(TODAY()&gt;D350,"逾期",""))</f>
        <v/>
      </c>
      <c r="J350" s="25">
        <f>IF(D350="","",D350-TODAY())</f>
        <v/>
      </c>
    </row>
    <row r="351">
      <c r="A351" s="21" t="n"/>
      <c r="B351" s="21" t="n"/>
      <c r="C351" s="21" t="n"/>
      <c r="D351" s="18" t="n"/>
      <c r="E351" s="21" t="n"/>
      <c r="F351" s="21" t="n"/>
      <c r="G351" s="24" t="n"/>
      <c r="H351" s="18" t="n"/>
      <c r="I351" s="21">
        <f>IF(OR(B351="完成",D351=""),"",IF(TODAY()&gt;D351,"逾期",""))</f>
        <v/>
      </c>
      <c r="J351" s="25">
        <f>IF(D351="","",D351-TODAY())</f>
        <v/>
      </c>
    </row>
    <row r="352">
      <c r="A352" s="21" t="n"/>
      <c r="B352" s="21" t="n"/>
      <c r="C352" s="21" t="n"/>
      <c r="D352" s="18" t="n"/>
      <c r="E352" s="21" t="n"/>
      <c r="F352" s="21" t="n"/>
      <c r="G352" s="24" t="n"/>
      <c r="H352" s="18" t="n"/>
      <c r="I352" s="21">
        <f>IF(OR(B352="完成",D352=""),"",IF(TODAY()&gt;D352,"逾期",""))</f>
        <v/>
      </c>
      <c r="J352" s="25">
        <f>IF(D352="","",D352-TODAY())</f>
        <v/>
      </c>
    </row>
    <row r="353">
      <c r="A353" s="21" t="n"/>
      <c r="B353" s="21" t="n"/>
      <c r="C353" s="21" t="n"/>
      <c r="D353" s="18" t="n"/>
      <c r="E353" s="21" t="n"/>
      <c r="F353" s="21" t="n"/>
      <c r="G353" s="24" t="n"/>
      <c r="H353" s="18" t="n"/>
      <c r="I353" s="21">
        <f>IF(OR(B353="完成",D353=""),"",IF(TODAY()&gt;D353,"逾期",""))</f>
        <v/>
      </c>
      <c r="J353" s="25">
        <f>IF(D353="","",D353-TODAY())</f>
        <v/>
      </c>
    </row>
    <row r="354">
      <c r="A354" s="21" t="n"/>
      <c r="B354" s="21" t="n"/>
      <c r="C354" s="21" t="n"/>
      <c r="D354" s="18" t="n"/>
      <c r="E354" s="21" t="n"/>
      <c r="F354" s="21" t="n"/>
      <c r="G354" s="24" t="n"/>
      <c r="H354" s="18" t="n"/>
      <c r="I354" s="21">
        <f>IF(OR(B354="完成",D354=""),"",IF(TODAY()&gt;D354,"逾期",""))</f>
        <v/>
      </c>
      <c r="J354" s="25">
        <f>IF(D354="","",D354-TODAY())</f>
        <v/>
      </c>
    </row>
    <row r="355">
      <c r="A355" s="21" t="n"/>
      <c r="B355" s="21" t="n"/>
      <c r="C355" s="21" t="n"/>
      <c r="D355" s="18" t="n"/>
      <c r="E355" s="21" t="n"/>
      <c r="F355" s="21" t="n"/>
      <c r="G355" s="24" t="n"/>
      <c r="H355" s="18" t="n"/>
      <c r="I355" s="21">
        <f>IF(OR(B355="完成",D355=""),"",IF(TODAY()&gt;D355,"逾期",""))</f>
        <v/>
      </c>
      <c r="J355" s="25">
        <f>IF(D355="","",D355-TODAY())</f>
        <v/>
      </c>
    </row>
    <row r="356">
      <c r="A356" s="21" t="n"/>
      <c r="B356" s="21" t="n"/>
      <c r="C356" s="21" t="n"/>
      <c r="D356" s="18" t="n"/>
      <c r="E356" s="21" t="n"/>
      <c r="F356" s="21" t="n"/>
      <c r="G356" s="24" t="n"/>
      <c r="H356" s="18" t="n"/>
      <c r="I356" s="21">
        <f>IF(OR(B356="完成",D356=""),"",IF(TODAY()&gt;D356,"逾期",""))</f>
        <v/>
      </c>
      <c r="J356" s="25">
        <f>IF(D356="","",D356-TODAY())</f>
        <v/>
      </c>
    </row>
    <row r="357">
      <c r="A357" s="21" t="n"/>
      <c r="B357" s="21" t="n"/>
      <c r="C357" s="21" t="n"/>
      <c r="D357" s="18" t="n"/>
      <c r="E357" s="21" t="n"/>
      <c r="F357" s="21" t="n"/>
      <c r="G357" s="24" t="n"/>
      <c r="H357" s="18" t="n"/>
      <c r="I357" s="21">
        <f>IF(OR(B357="完成",D357=""),"",IF(TODAY()&gt;D357,"逾期",""))</f>
        <v/>
      </c>
      <c r="J357" s="25">
        <f>IF(D357="","",D357-TODAY())</f>
        <v/>
      </c>
    </row>
    <row r="358">
      <c r="A358" s="21" t="n"/>
      <c r="B358" s="21" t="n"/>
      <c r="C358" s="21" t="n"/>
      <c r="D358" s="18" t="n"/>
      <c r="E358" s="21" t="n"/>
      <c r="F358" s="21" t="n"/>
      <c r="G358" s="24" t="n"/>
      <c r="H358" s="18" t="n"/>
      <c r="I358" s="21">
        <f>IF(OR(B358="完成",D358=""),"",IF(TODAY()&gt;D358,"逾期",""))</f>
        <v/>
      </c>
      <c r="J358" s="25">
        <f>IF(D358="","",D358-TODAY())</f>
        <v/>
      </c>
    </row>
    <row r="359">
      <c r="A359" s="21" t="n"/>
      <c r="B359" s="21" t="n"/>
      <c r="C359" s="21" t="n"/>
      <c r="D359" s="18" t="n"/>
      <c r="E359" s="21" t="n"/>
      <c r="F359" s="21" t="n"/>
      <c r="G359" s="24" t="n"/>
      <c r="H359" s="18" t="n"/>
      <c r="I359" s="21">
        <f>IF(OR(B359="完成",D359=""),"",IF(TODAY()&gt;D359,"逾期",""))</f>
        <v/>
      </c>
      <c r="J359" s="25">
        <f>IF(D359="","",D359-TODAY())</f>
        <v/>
      </c>
    </row>
    <row r="360">
      <c r="A360" s="21" t="n"/>
      <c r="B360" s="21" t="n"/>
      <c r="C360" s="21" t="n"/>
      <c r="D360" s="18" t="n"/>
      <c r="E360" s="21" t="n"/>
      <c r="F360" s="21" t="n"/>
      <c r="G360" s="24" t="n"/>
      <c r="H360" s="18" t="n"/>
      <c r="I360" s="21">
        <f>IF(OR(B360="完成",D360=""),"",IF(TODAY()&gt;D360,"逾期",""))</f>
        <v/>
      </c>
      <c r="J360" s="25">
        <f>IF(D360="","",D360-TODAY())</f>
        <v/>
      </c>
    </row>
    <row r="361">
      <c r="A361" s="21" t="n"/>
      <c r="B361" s="21" t="n"/>
      <c r="C361" s="21" t="n"/>
      <c r="D361" s="18" t="n"/>
      <c r="E361" s="21" t="n"/>
      <c r="F361" s="21" t="n"/>
      <c r="G361" s="24" t="n"/>
      <c r="H361" s="18" t="n"/>
      <c r="I361" s="21">
        <f>IF(OR(B361="完成",D361=""),"",IF(TODAY()&gt;D361,"逾期",""))</f>
        <v/>
      </c>
      <c r="J361" s="25">
        <f>IF(D361="","",D361-TODAY())</f>
        <v/>
      </c>
    </row>
    <row r="362">
      <c r="A362" s="21" t="n"/>
      <c r="B362" s="21" t="n"/>
      <c r="C362" s="21" t="n"/>
      <c r="D362" s="18" t="n"/>
      <c r="E362" s="21" t="n"/>
      <c r="F362" s="21" t="n"/>
      <c r="G362" s="24" t="n"/>
      <c r="H362" s="18" t="n"/>
      <c r="I362" s="21">
        <f>IF(OR(B362="完成",D362=""),"",IF(TODAY()&gt;D362,"逾期",""))</f>
        <v/>
      </c>
      <c r="J362" s="25">
        <f>IF(D362="","",D362-TODAY())</f>
        <v/>
      </c>
    </row>
    <row r="363">
      <c r="A363" s="21" t="n"/>
      <c r="B363" s="21" t="n"/>
      <c r="C363" s="21" t="n"/>
      <c r="D363" s="18" t="n"/>
      <c r="E363" s="21" t="n"/>
      <c r="F363" s="21" t="n"/>
      <c r="G363" s="24" t="n"/>
      <c r="H363" s="18" t="n"/>
      <c r="I363" s="21">
        <f>IF(OR(B363="完成",D363=""),"",IF(TODAY()&gt;D363,"逾期",""))</f>
        <v/>
      </c>
      <c r="J363" s="25">
        <f>IF(D363="","",D363-TODAY())</f>
        <v/>
      </c>
    </row>
    <row r="364">
      <c r="A364" s="21" t="n"/>
      <c r="B364" s="21" t="n"/>
      <c r="C364" s="21" t="n"/>
      <c r="D364" s="18" t="n"/>
      <c r="E364" s="21" t="n"/>
      <c r="F364" s="21" t="n"/>
      <c r="G364" s="24" t="n"/>
      <c r="H364" s="18" t="n"/>
      <c r="I364" s="21">
        <f>IF(OR(B364="完成",D364=""),"",IF(TODAY()&gt;D364,"逾期",""))</f>
        <v/>
      </c>
      <c r="J364" s="25">
        <f>IF(D364="","",D364-TODAY())</f>
        <v/>
      </c>
    </row>
    <row r="365">
      <c r="A365" s="21" t="n"/>
      <c r="B365" s="21" t="n"/>
      <c r="C365" s="21" t="n"/>
      <c r="D365" s="18" t="n"/>
      <c r="E365" s="21" t="n"/>
      <c r="F365" s="21" t="n"/>
      <c r="G365" s="24" t="n"/>
      <c r="H365" s="18" t="n"/>
      <c r="I365" s="21">
        <f>IF(OR(B365="完成",D365=""),"",IF(TODAY()&gt;D365,"逾期",""))</f>
        <v/>
      </c>
      <c r="J365" s="25">
        <f>IF(D365="","",D365-TODAY())</f>
        <v/>
      </c>
    </row>
    <row r="366">
      <c r="A366" s="21" t="n"/>
      <c r="B366" s="21" t="n"/>
      <c r="C366" s="21" t="n"/>
      <c r="D366" s="18" t="n"/>
      <c r="E366" s="21" t="n"/>
      <c r="F366" s="21" t="n"/>
      <c r="G366" s="24" t="n"/>
      <c r="H366" s="18" t="n"/>
      <c r="I366" s="21">
        <f>IF(OR(B366="完成",D366=""),"",IF(TODAY()&gt;D366,"逾期",""))</f>
        <v/>
      </c>
      <c r="J366" s="25">
        <f>IF(D366="","",D366-TODAY())</f>
        <v/>
      </c>
    </row>
    <row r="367">
      <c r="A367" s="21" t="n"/>
      <c r="B367" s="21" t="n"/>
      <c r="C367" s="21" t="n"/>
      <c r="D367" s="18" t="n"/>
      <c r="E367" s="21" t="n"/>
      <c r="F367" s="21" t="n"/>
      <c r="G367" s="24" t="n"/>
      <c r="H367" s="18" t="n"/>
      <c r="I367" s="21">
        <f>IF(OR(B367="完成",D367=""),"",IF(TODAY()&gt;D367,"逾期",""))</f>
        <v/>
      </c>
      <c r="J367" s="25">
        <f>IF(D367="","",D367-TODAY())</f>
        <v/>
      </c>
    </row>
    <row r="368">
      <c r="A368" s="21" t="n"/>
      <c r="B368" s="21" t="n"/>
      <c r="C368" s="21" t="n"/>
      <c r="D368" s="18" t="n"/>
      <c r="E368" s="21" t="n"/>
      <c r="F368" s="21" t="n"/>
      <c r="G368" s="24" t="n"/>
      <c r="H368" s="18" t="n"/>
      <c r="I368" s="21">
        <f>IF(OR(B368="完成",D368=""),"",IF(TODAY()&gt;D368,"逾期",""))</f>
        <v/>
      </c>
      <c r="J368" s="25">
        <f>IF(D368="","",D368-TODAY())</f>
        <v/>
      </c>
    </row>
    <row r="369">
      <c r="A369" s="21" t="n"/>
      <c r="B369" s="21" t="n"/>
      <c r="C369" s="21" t="n"/>
      <c r="D369" s="18" t="n"/>
      <c r="E369" s="21" t="n"/>
      <c r="F369" s="21" t="n"/>
      <c r="G369" s="24" t="n"/>
      <c r="H369" s="18" t="n"/>
      <c r="I369" s="21">
        <f>IF(OR(B369="完成",D369=""),"",IF(TODAY()&gt;D369,"逾期",""))</f>
        <v/>
      </c>
      <c r="J369" s="25">
        <f>IF(D369="","",D369-TODAY())</f>
        <v/>
      </c>
    </row>
    <row r="370">
      <c r="A370" s="21" t="n"/>
      <c r="B370" s="21" t="n"/>
      <c r="C370" s="21" t="n"/>
      <c r="D370" s="18" t="n"/>
      <c r="E370" s="21" t="n"/>
      <c r="F370" s="21" t="n"/>
      <c r="G370" s="24" t="n"/>
      <c r="H370" s="18" t="n"/>
      <c r="I370" s="21">
        <f>IF(OR(B370="完成",D370=""),"",IF(TODAY()&gt;D370,"逾期",""))</f>
        <v/>
      </c>
      <c r="J370" s="25">
        <f>IF(D370="","",D370-TODAY())</f>
        <v/>
      </c>
    </row>
    <row r="371">
      <c r="A371" s="21" t="n"/>
      <c r="B371" s="21" t="n"/>
      <c r="C371" s="21" t="n"/>
      <c r="D371" s="18" t="n"/>
      <c r="E371" s="21" t="n"/>
      <c r="F371" s="21" t="n"/>
      <c r="G371" s="24" t="n"/>
      <c r="H371" s="18" t="n"/>
      <c r="I371" s="21">
        <f>IF(OR(B371="完成",D371=""),"",IF(TODAY()&gt;D371,"逾期",""))</f>
        <v/>
      </c>
      <c r="J371" s="25">
        <f>IF(D371="","",D371-TODAY())</f>
        <v/>
      </c>
    </row>
    <row r="372">
      <c r="A372" s="21" t="n"/>
      <c r="B372" s="21" t="n"/>
      <c r="C372" s="21" t="n"/>
      <c r="D372" s="18" t="n"/>
      <c r="E372" s="21" t="n"/>
      <c r="F372" s="21" t="n"/>
      <c r="G372" s="24" t="n"/>
      <c r="H372" s="18" t="n"/>
      <c r="I372" s="21">
        <f>IF(OR(B372="完成",D372=""),"",IF(TODAY()&gt;D372,"逾期",""))</f>
        <v/>
      </c>
      <c r="J372" s="25">
        <f>IF(D372="","",D372-TODAY())</f>
        <v/>
      </c>
    </row>
    <row r="373">
      <c r="A373" s="21" t="n"/>
      <c r="B373" s="21" t="n"/>
      <c r="C373" s="21" t="n"/>
      <c r="D373" s="18" t="n"/>
      <c r="E373" s="21" t="n"/>
      <c r="F373" s="21" t="n"/>
      <c r="G373" s="24" t="n"/>
      <c r="H373" s="18" t="n"/>
      <c r="I373" s="21">
        <f>IF(OR(B373="完成",D373=""),"",IF(TODAY()&gt;D373,"逾期",""))</f>
        <v/>
      </c>
      <c r="J373" s="25">
        <f>IF(D373="","",D373-TODAY())</f>
        <v/>
      </c>
    </row>
    <row r="374">
      <c r="A374" s="21" t="n"/>
      <c r="B374" s="21" t="n"/>
      <c r="C374" s="21" t="n"/>
      <c r="D374" s="18" t="n"/>
      <c r="E374" s="21" t="n"/>
      <c r="F374" s="21" t="n"/>
      <c r="G374" s="24" t="n"/>
      <c r="H374" s="18" t="n"/>
      <c r="I374" s="21">
        <f>IF(OR(B374="完成",D374=""),"",IF(TODAY()&gt;D374,"逾期",""))</f>
        <v/>
      </c>
      <c r="J374" s="25">
        <f>IF(D374="","",D374-TODAY())</f>
        <v/>
      </c>
    </row>
    <row r="375">
      <c r="A375" s="21" t="n"/>
      <c r="B375" s="21" t="n"/>
      <c r="C375" s="21" t="n"/>
      <c r="D375" s="18" t="n"/>
      <c r="E375" s="21" t="n"/>
      <c r="F375" s="21" t="n"/>
      <c r="G375" s="24" t="n"/>
      <c r="H375" s="18" t="n"/>
      <c r="I375" s="21">
        <f>IF(OR(B375="完成",D375=""),"",IF(TODAY()&gt;D375,"逾期",""))</f>
        <v/>
      </c>
      <c r="J375" s="25">
        <f>IF(D375="","",D375-TODAY())</f>
        <v/>
      </c>
    </row>
    <row r="376">
      <c r="A376" s="21" t="n"/>
      <c r="B376" s="21" t="n"/>
      <c r="C376" s="21" t="n"/>
      <c r="D376" s="18" t="n"/>
      <c r="E376" s="21" t="n"/>
      <c r="F376" s="21" t="n"/>
      <c r="G376" s="24" t="n"/>
      <c r="H376" s="18" t="n"/>
      <c r="I376" s="21">
        <f>IF(OR(B376="完成",D376=""),"",IF(TODAY()&gt;D376,"逾期",""))</f>
        <v/>
      </c>
      <c r="J376" s="25">
        <f>IF(D376="","",D376-TODAY())</f>
        <v/>
      </c>
    </row>
    <row r="377">
      <c r="A377" s="21" t="n"/>
      <c r="B377" s="21" t="n"/>
      <c r="C377" s="21" t="n"/>
      <c r="D377" s="18" t="n"/>
      <c r="E377" s="21" t="n"/>
      <c r="F377" s="21" t="n"/>
      <c r="G377" s="24" t="n"/>
      <c r="H377" s="18" t="n"/>
      <c r="I377" s="21">
        <f>IF(OR(B377="完成",D377=""),"",IF(TODAY()&gt;D377,"逾期",""))</f>
        <v/>
      </c>
      <c r="J377" s="25">
        <f>IF(D377="","",D377-TODAY())</f>
        <v/>
      </c>
    </row>
    <row r="378">
      <c r="A378" s="21" t="n"/>
      <c r="B378" s="21" t="n"/>
      <c r="C378" s="21" t="n"/>
      <c r="D378" s="18" t="n"/>
      <c r="E378" s="21" t="n"/>
      <c r="F378" s="21" t="n"/>
      <c r="G378" s="24" t="n"/>
      <c r="H378" s="18" t="n"/>
      <c r="I378" s="21">
        <f>IF(OR(B378="完成",D378=""),"",IF(TODAY()&gt;D378,"逾期",""))</f>
        <v/>
      </c>
      <c r="J378" s="25">
        <f>IF(D378="","",D378-TODAY())</f>
        <v/>
      </c>
    </row>
    <row r="379">
      <c r="A379" s="21" t="n"/>
      <c r="B379" s="21" t="n"/>
      <c r="C379" s="21" t="n"/>
      <c r="D379" s="18" t="n"/>
      <c r="E379" s="21" t="n"/>
      <c r="F379" s="21" t="n"/>
      <c r="G379" s="24" t="n"/>
      <c r="H379" s="18" t="n"/>
      <c r="I379" s="21">
        <f>IF(OR(B379="完成",D379=""),"",IF(TODAY()&gt;D379,"逾期",""))</f>
        <v/>
      </c>
      <c r="J379" s="25">
        <f>IF(D379="","",D379-TODAY())</f>
        <v/>
      </c>
    </row>
    <row r="380">
      <c r="A380" s="21" t="n"/>
      <c r="B380" s="21" t="n"/>
      <c r="C380" s="21" t="n"/>
      <c r="D380" s="18" t="n"/>
      <c r="E380" s="21" t="n"/>
      <c r="F380" s="21" t="n"/>
      <c r="G380" s="24" t="n"/>
      <c r="H380" s="18" t="n"/>
      <c r="I380" s="21">
        <f>IF(OR(B380="完成",D380=""),"",IF(TODAY()&gt;D380,"逾期",""))</f>
        <v/>
      </c>
      <c r="J380" s="25">
        <f>IF(D380="","",D380-TODAY())</f>
        <v/>
      </c>
    </row>
    <row r="381">
      <c r="A381" s="21" t="n"/>
      <c r="B381" s="21" t="n"/>
      <c r="C381" s="21" t="n"/>
      <c r="D381" s="18" t="n"/>
      <c r="E381" s="21" t="n"/>
      <c r="F381" s="21" t="n"/>
      <c r="G381" s="24" t="n"/>
      <c r="H381" s="18" t="n"/>
      <c r="I381" s="21">
        <f>IF(OR(B381="完成",D381=""),"",IF(TODAY()&gt;D381,"逾期",""))</f>
        <v/>
      </c>
      <c r="J381" s="25">
        <f>IF(D381="","",D381-TODAY())</f>
        <v/>
      </c>
    </row>
    <row r="382">
      <c r="A382" s="21" t="n"/>
      <c r="B382" s="21" t="n"/>
      <c r="C382" s="21" t="n"/>
      <c r="D382" s="18" t="n"/>
      <c r="E382" s="21" t="n"/>
      <c r="F382" s="21" t="n"/>
      <c r="G382" s="24" t="n"/>
      <c r="H382" s="18" t="n"/>
      <c r="I382" s="21">
        <f>IF(OR(B382="完成",D382=""),"",IF(TODAY()&gt;D382,"逾期",""))</f>
        <v/>
      </c>
      <c r="J382" s="25">
        <f>IF(D382="","",D382-TODAY())</f>
        <v/>
      </c>
    </row>
    <row r="383">
      <c r="A383" s="21" t="n"/>
      <c r="B383" s="21" t="n"/>
      <c r="C383" s="21" t="n"/>
      <c r="D383" s="18" t="n"/>
      <c r="E383" s="21" t="n"/>
      <c r="F383" s="21" t="n"/>
      <c r="G383" s="24" t="n"/>
      <c r="H383" s="18" t="n"/>
      <c r="I383" s="21">
        <f>IF(OR(B383="完成",D383=""),"",IF(TODAY()&gt;D383,"逾期",""))</f>
        <v/>
      </c>
      <c r="J383" s="25">
        <f>IF(D383="","",D383-TODAY())</f>
        <v/>
      </c>
    </row>
    <row r="384">
      <c r="A384" s="21" t="n"/>
      <c r="B384" s="21" t="n"/>
      <c r="C384" s="21" t="n"/>
      <c r="D384" s="18" t="n"/>
      <c r="E384" s="21" t="n"/>
      <c r="F384" s="21" t="n"/>
      <c r="G384" s="24" t="n"/>
      <c r="H384" s="18" t="n"/>
      <c r="I384" s="21">
        <f>IF(OR(B384="完成",D384=""),"",IF(TODAY()&gt;D384,"逾期",""))</f>
        <v/>
      </c>
      <c r="J384" s="25">
        <f>IF(D384="","",D384-TODAY())</f>
        <v/>
      </c>
    </row>
    <row r="385">
      <c r="A385" s="21" t="n"/>
      <c r="B385" s="21" t="n"/>
      <c r="C385" s="21" t="n"/>
      <c r="D385" s="18" t="n"/>
      <c r="E385" s="21" t="n"/>
      <c r="F385" s="21" t="n"/>
      <c r="G385" s="24" t="n"/>
      <c r="H385" s="18" t="n"/>
      <c r="I385" s="21">
        <f>IF(OR(B385="完成",D385=""),"",IF(TODAY()&gt;D385,"逾期",""))</f>
        <v/>
      </c>
      <c r="J385" s="25">
        <f>IF(D385="","",D385-TODAY())</f>
        <v/>
      </c>
    </row>
    <row r="386">
      <c r="A386" s="21" t="n"/>
      <c r="B386" s="21" t="n"/>
      <c r="C386" s="21" t="n"/>
      <c r="D386" s="18" t="n"/>
      <c r="E386" s="21" t="n"/>
      <c r="F386" s="21" t="n"/>
      <c r="G386" s="24" t="n"/>
      <c r="H386" s="18" t="n"/>
      <c r="I386" s="21">
        <f>IF(OR(B386="完成",D386=""),"",IF(TODAY()&gt;D386,"逾期",""))</f>
        <v/>
      </c>
      <c r="J386" s="25">
        <f>IF(D386="","",D386-TODAY())</f>
        <v/>
      </c>
    </row>
    <row r="387">
      <c r="A387" s="21" t="n"/>
      <c r="B387" s="21" t="n"/>
      <c r="C387" s="21" t="n"/>
      <c r="D387" s="18" t="n"/>
      <c r="E387" s="21" t="n"/>
      <c r="F387" s="21" t="n"/>
      <c r="G387" s="24" t="n"/>
      <c r="H387" s="18" t="n"/>
      <c r="I387" s="21">
        <f>IF(OR(B387="完成",D387=""),"",IF(TODAY()&gt;D387,"逾期",""))</f>
        <v/>
      </c>
      <c r="J387" s="25">
        <f>IF(D387="","",D387-TODAY())</f>
        <v/>
      </c>
    </row>
    <row r="388">
      <c r="A388" s="21" t="n"/>
      <c r="B388" s="21" t="n"/>
      <c r="C388" s="21" t="n"/>
      <c r="D388" s="18" t="n"/>
      <c r="E388" s="21" t="n"/>
      <c r="F388" s="21" t="n"/>
      <c r="G388" s="24" t="n"/>
      <c r="H388" s="18" t="n"/>
      <c r="I388" s="21">
        <f>IF(OR(B388="完成",D388=""),"",IF(TODAY()&gt;D388,"逾期",""))</f>
        <v/>
      </c>
      <c r="J388" s="25">
        <f>IF(D388="","",D388-TODAY())</f>
        <v/>
      </c>
    </row>
    <row r="389">
      <c r="A389" s="21" t="n"/>
      <c r="B389" s="21" t="n"/>
      <c r="C389" s="21" t="n"/>
      <c r="D389" s="18" t="n"/>
      <c r="E389" s="21" t="n"/>
      <c r="F389" s="21" t="n"/>
      <c r="G389" s="24" t="n"/>
      <c r="H389" s="18" t="n"/>
      <c r="I389" s="21">
        <f>IF(OR(B389="完成",D389=""),"",IF(TODAY()&gt;D389,"逾期",""))</f>
        <v/>
      </c>
      <c r="J389" s="25">
        <f>IF(D389="","",D389-TODAY())</f>
        <v/>
      </c>
    </row>
    <row r="390">
      <c r="A390" s="21" t="n"/>
      <c r="B390" s="21" t="n"/>
      <c r="C390" s="21" t="n"/>
      <c r="D390" s="18" t="n"/>
      <c r="E390" s="21" t="n"/>
      <c r="F390" s="21" t="n"/>
      <c r="G390" s="24" t="n"/>
      <c r="H390" s="18" t="n"/>
      <c r="I390" s="21">
        <f>IF(OR(B390="完成",D390=""),"",IF(TODAY()&gt;D390,"逾期",""))</f>
        <v/>
      </c>
      <c r="J390" s="25">
        <f>IF(D390="","",D390-TODAY())</f>
        <v/>
      </c>
    </row>
    <row r="391">
      <c r="A391" s="21" t="n"/>
      <c r="B391" s="21" t="n"/>
      <c r="C391" s="21" t="n"/>
      <c r="D391" s="18" t="n"/>
      <c r="E391" s="21" t="n"/>
      <c r="F391" s="21" t="n"/>
      <c r="G391" s="24" t="n"/>
      <c r="H391" s="18" t="n"/>
      <c r="I391" s="21">
        <f>IF(OR(B391="完成",D391=""),"",IF(TODAY()&gt;D391,"逾期",""))</f>
        <v/>
      </c>
      <c r="J391" s="25">
        <f>IF(D391="","",D391-TODAY())</f>
        <v/>
      </c>
    </row>
    <row r="392">
      <c r="A392" s="21" t="n"/>
      <c r="B392" s="21" t="n"/>
      <c r="C392" s="21" t="n"/>
      <c r="D392" s="18" t="n"/>
      <c r="E392" s="21" t="n"/>
      <c r="F392" s="21" t="n"/>
      <c r="G392" s="24" t="n"/>
      <c r="H392" s="18" t="n"/>
      <c r="I392" s="21">
        <f>IF(OR(B392="完成",D392=""),"",IF(TODAY()&gt;D392,"逾期",""))</f>
        <v/>
      </c>
      <c r="J392" s="25">
        <f>IF(D392="","",D392-TODAY())</f>
        <v/>
      </c>
    </row>
    <row r="393">
      <c r="A393" s="21" t="n"/>
      <c r="B393" s="21" t="n"/>
      <c r="C393" s="21" t="n"/>
      <c r="D393" s="18" t="n"/>
      <c r="E393" s="21" t="n"/>
      <c r="F393" s="21" t="n"/>
      <c r="G393" s="24" t="n"/>
      <c r="H393" s="18" t="n"/>
      <c r="I393" s="21">
        <f>IF(OR(B393="完成",D393=""),"",IF(TODAY()&gt;D393,"逾期",""))</f>
        <v/>
      </c>
      <c r="J393" s="25">
        <f>IF(D393="","",D393-TODAY())</f>
        <v/>
      </c>
    </row>
    <row r="394">
      <c r="A394" s="21" t="n"/>
      <c r="B394" s="21" t="n"/>
      <c r="C394" s="21" t="n"/>
      <c r="D394" s="18" t="n"/>
      <c r="E394" s="21" t="n"/>
      <c r="F394" s="21" t="n"/>
      <c r="G394" s="24" t="n"/>
      <c r="H394" s="18" t="n"/>
      <c r="I394" s="21">
        <f>IF(OR(B394="完成",D394=""),"",IF(TODAY()&gt;D394,"逾期",""))</f>
        <v/>
      </c>
      <c r="J394" s="25">
        <f>IF(D394="","",D394-TODAY())</f>
        <v/>
      </c>
    </row>
    <row r="395">
      <c r="A395" s="21" t="n"/>
      <c r="B395" s="21" t="n"/>
      <c r="C395" s="21" t="n"/>
      <c r="D395" s="18" t="n"/>
      <c r="E395" s="21" t="n"/>
      <c r="F395" s="21" t="n"/>
      <c r="G395" s="24" t="n"/>
      <c r="H395" s="18" t="n"/>
      <c r="I395" s="21">
        <f>IF(OR(B395="完成",D395=""),"",IF(TODAY()&gt;D395,"逾期",""))</f>
        <v/>
      </c>
      <c r="J395" s="25">
        <f>IF(D395="","",D395-TODAY())</f>
        <v/>
      </c>
    </row>
    <row r="396">
      <c r="A396" s="21" t="n"/>
      <c r="B396" s="21" t="n"/>
      <c r="C396" s="21" t="n"/>
      <c r="D396" s="18" t="n"/>
      <c r="E396" s="21" t="n"/>
      <c r="F396" s="21" t="n"/>
      <c r="G396" s="24" t="n"/>
      <c r="H396" s="18" t="n"/>
      <c r="I396" s="21">
        <f>IF(OR(B396="完成",D396=""),"",IF(TODAY()&gt;D396,"逾期",""))</f>
        <v/>
      </c>
      <c r="J396" s="25">
        <f>IF(D396="","",D396-TODAY())</f>
        <v/>
      </c>
    </row>
    <row r="397">
      <c r="A397" s="21" t="n"/>
      <c r="B397" s="21" t="n"/>
      <c r="C397" s="21" t="n"/>
      <c r="D397" s="18" t="n"/>
      <c r="E397" s="21" t="n"/>
      <c r="F397" s="21" t="n"/>
      <c r="G397" s="24" t="n"/>
      <c r="H397" s="18" t="n"/>
      <c r="I397" s="21">
        <f>IF(OR(B397="完成",D397=""),"",IF(TODAY()&gt;D397,"逾期",""))</f>
        <v/>
      </c>
      <c r="J397" s="25">
        <f>IF(D397="","",D397-TODAY())</f>
        <v/>
      </c>
    </row>
    <row r="398">
      <c r="A398" s="21" t="n"/>
      <c r="B398" s="21" t="n"/>
      <c r="C398" s="21" t="n"/>
      <c r="D398" s="18" t="n"/>
      <c r="E398" s="21" t="n"/>
      <c r="F398" s="21" t="n"/>
      <c r="G398" s="24" t="n"/>
      <c r="H398" s="18" t="n"/>
      <c r="I398" s="21">
        <f>IF(OR(B398="完成",D398=""),"",IF(TODAY()&gt;D398,"逾期",""))</f>
        <v/>
      </c>
      <c r="J398" s="25">
        <f>IF(D398="","",D398-TODAY())</f>
        <v/>
      </c>
    </row>
    <row r="399">
      <c r="A399" s="21" t="n"/>
      <c r="B399" s="21" t="n"/>
      <c r="C399" s="21" t="n"/>
      <c r="D399" s="18" t="n"/>
      <c r="E399" s="21" t="n"/>
      <c r="F399" s="21" t="n"/>
      <c r="G399" s="24" t="n"/>
      <c r="H399" s="18" t="n"/>
      <c r="I399" s="21">
        <f>IF(OR(B399="完成",D399=""),"",IF(TODAY()&gt;D399,"逾期",""))</f>
        <v/>
      </c>
      <c r="J399" s="25">
        <f>IF(D399="","",D399-TODAY())</f>
        <v/>
      </c>
    </row>
    <row r="400">
      <c r="A400" s="21" t="n"/>
      <c r="B400" s="21" t="n"/>
      <c r="C400" s="21" t="n"/>
      <c r="D400" s="18" t="n"/>
      <c r="E400" s="21" t="n"/>
      <c r="F400" s="21" t="n"/>
      <c r="G400" s="24" t="n"/>
      <c r="H400" s="18" t="n"/>
      <c r="I400" s="21">
        <f>IF(OR(B400="完成",D400=""),"",IF(TODAY()&gt;D400,"逾期",""))</f>
        <v/>
      </c>
      <c r="J400" s="25">
        <f>IF(D400="","",D400-TODAY())</f>
        <v/>
      </c>
    </row>
    <row r="401">
      <c r="A401" s="21" t="n"/>
      <c r="B401" s="21" t="n"/>
      <c r="C401" s="21" t="n"/>
      <c r="D401" s="18" t="n"/>
      <c r="E401" s="21" t="n"/>
      <c r="F401" s="21" t="n"/>
      <c r="G401" s="24" t="n"/>
      <c r="H401" s="18" t="n"/>
      <c r="I401" s="21">
        <f>IF(OR(B401="完成",D401=""),"",IF(TODAY()&gt;D401,"逾期",""))</f>
        <v/>
      </c>
      <c r="J401" s="25">
        <f>IF(D401="","",D401-TODAY())</f>
        <v/>
      </c>
    </row>
    <row r="402">
      <c r="A402" s="21" t="n"/>
      <c r="B402" s="21" t="n"/>
      <c r="C402" s="21" t="n"/>
      <c r="D402" s="18" t="n"/>
      <c r="E402" s="21" t="n"/>
      <c r="F402" s="21" t="n"/>
      <c r="G402" s="24" t="n"/>
      <c r="H402" s="18" t="n"/>
      <c r="I402" s="21">
        <f>IF(OR(B402="完成",D402=""),"",IF(TODAY()&gt;D402,"逾期",""))</f>
        <v/>
      </c>
      <c r="J402" s="25">
        <f>IF(D402="","",D402-TODAY())</f>
        <v/>
      </c>
    </row>
    <row r="403">
      <c r="A403" s="21" t="n"/>
      <c r="B403" s="21" t="n"/>
      <c r="C403" s="21" t="n"/>
      <c r="D403" s="18" t="n"/>
      <c r="E403" s="21" t="n"/>
      <c r="F403" s="21" t="n"/>
      <c r="G403" s="24" t="n"/>
      <c r="H403" s="18" t="n"/>
      <c r="I403" s="21">
        <f>IF(OR(B403="完成",D403=""),"",IF(TODAY()&gt;D403,"逾期",""))</f>
        <v/>
      </c>
      <c r="J403" s="25">
        <f>IF(D403="","",D403-TODAY())</f>
        <v/>
      </c>
    </row>
    <row r="404">
      <c r="A404" s="21" t="n"/>
      <c r="B404" s="21" t="n"/>
      <c r="C404" s="21" t="n"/>
      <c r="D404" s="18" t="n"/>
      <c r="E404" s="21" t="n"/>
      <c r="F404" s="21" t="n"/>
      <c r="G404" s="24" t="n"/>
      <c r="H404" s="18" t="n"/>
      <c r="I404" s="21">
        <f>IF(OR(B404="完成",D404=""),"",IF(TODAY()&gt;D404,"逾期",""))</f>
        <v/>
      </c>
      <c r="J404" s="25">
        <f>IF(D404="","",D404-TODAY())</f>
        <v/>
      </c>
    </row>
    <row r="405">
      <c r="A405" s="21" t="n"/>
      <c r="B405" s="21" t="n"/>
      <c r="C405" s="21" t="n"/>
      <c r="D405" s="18" t="n"/>
      <c r="E405" s="21" t="n"/>
      <c r="F405" s="21" t="n"/>
      <c r="G405" s="24" t="n"/>
      <c r="H405" s="18" t="n"/>
      <c r="I405" s="21">
        <f>IF(OR(B405="完成",D405=""),"",IF(TODAY()&gt;D405,"逾期",""))</f>
        <v/>
      </c>
      <c r="J405" s="25">
        <f>IF(D405="","",D405-TODAY())</f>
        <v/>
      </c>
    </row>
    <row r="406">
      <c r="A406" s="21" t="n"/>
      <c r="B406" s="21" t="n"/>
      <c r="C406" s="21" t="n"/>
      <c r="D406" s="18" t="n"/>
      <c r="E406" s="21" t="n"/>
      <c r="F406" s="21" t="n"/>
      <c r="G406" s="24" t="n"/>
      <c r="H406" s="18" t="n"/>
      <c r="I406" s="21">
        <f>IF(OR(B406="完成",D406=""),"",IF(TODAY()&gt;D406,"逾期",""))</f>
        <v/>
      </c>
      <c r="J406" s="25">
        <f>IF(D406="","",D406-TODAY())</f>
        <v/>
      </c>
    </row>
    <row r="407">
      <c r="A407" s="21" t="n"/>
      <c r="B407" s="21" t="n"/>
      <c r="C407" s="21" t="n"/>
      <c r="D407" s="18" t="n"/>
      <c r="E407" s="21" t="n"/>
      <c r="F407" s="21" t="n"/>
      <c r="G407" s="24" t="n"/>
      <c r="H407" s="18" t="n"/>
      <c r="I407" s="21">
        <f>IF(OR(B407="完成",D407=""),"",IF(TODAY()&gt;D407,"逾期",""))</f>
        <v/>
      </c>
      <c r="J407" s="25">
        <f>IF(D407="","",D407-TODAY())</f>
        <v/>
      </c>
    </row>
    <row r="408">
      <c r="A408" s="21" t="n"/>
      <c r="B408" s="21" t="n"/>
      <c r="C408" s="21" t="n"/>
      <c r="D408" s="18" t="n"/>
      <c r="E408" s="21" t="n"/>
      <c r="F408" s="21" t="n"/>
      <c r="G408" s="24" t="n"/>
      <c r="H408" s="18" t="n"/>
      <c r="I408" s="21">
        <f>IF(OR(B408="完成",D408=""),"",IF(TODAY()&gt;D408,"逾期",""))</f>
        <v/>
      </c>
      <c r="J408" s="25">
        <f>IF(D408="","",D408-TODAY())</f>
        <v/>
      </c>
    </row>
    <row r="409">
      <c r="A409" s="21" t="n"/>
      <c r="B409" s="21" t="n"/>
      <c r="C409" s="21" t="n"/>
      <c r="D409" s="18" t="n"/>
      <c r="E409" s="21" t="n"/>
      <c r="F409" s="21" t="n"/>
      <c r="G409" s="24" t="n"/>
      <c r="H409" s="18" t="n"/>
      <c r="I409" s="21">
        <f>IF(OR(B409="完成",D409=""),"",IF(TODAY()&gt;D409,"逾期",""))</f>
        <v/>
      </c>
      <c r="J409" s="25">
        <f>IF(D409="","",D409-TODAY())</f>
        <v/>
      </c>
    </row>
    <row r="410">
      <c r="A410" s="21" t="n"/>
      <c r="B410" s="21" t="n"/>
      <c r="C410" s="21" t="n"/>
      <c r="D410" s="18" t="n"/>
      <c r="E410" s="21" t="n"/>
      <c r="F410" s="21" t="n"/>
      <c r="G410" s="24" t="n"/>
      <c r="H410" s="18" t="n"/>
      <c r="I410" s="21">
        <f>IF(OR(B410="完成",D410=""),"",IF(TODAY()&gt;D410,"逾期",""))</f>
        <v/>
      </c>
      <c r="J410" s="25">
        <f>IF(D410="","",D410-TODAY())</f>
        <v/>
      </c>
    </row>
    <row r="411">
      <c r="A411" s="21" t="n"/>
      <c r="B411" s="21" t="n"/>
      <c r="C411" s="21" t="n"/>
      <c r="D411" s="18" t="n"/>
      <c r="E411" s="21" t="n"/>
      <c r="F411" s="21" t="n"/>
      <c r="G411" s="24" t="n"/>
      <c r="H411" s="18" t="n"/>
      <c r="I411" s="21">
        <f>IF(OR(B411="完成",D411=""),"",IF(TODAY()&gt;D411,"逾期",""))</f>
        <v/>
      </c>
      <c r="J411" s="25">
        <f>IF(D411="","",D411-TODAY())</f>
        <v/>
      </c>
    </row>
    <row r="412">
      <c r="A412" s="21" t="n"/>
      <c r="B412" s="21" t="n"/>
      <c r="C412" s="21" t="n"/>
      <c r="D412" s="18" t="n"/>
      <c r="E412" s="21" t="n"/>
      <c r="F412" s="21" t="n"/>
      <c r="G412" s="24" t="n"/>
      <c r="H412" s="18" t="n"/>
      <c r="I412" s="21">
        <f>IF(OR(B412="完成",D412=""),"",IF(TODAY()&gt;D412,"逾期",""))</f>
        <v/>
      </c>
      <c r="J412" s="25">
        <f>IF(D412="","",D412-TODAY())</f>
        <v/>
      </c>
    </row>
    <row r="413">
      <c r="A413" s="21" t="n"/>
      <c r="B413" s="21" t="n"/>
      <c r="C413" s="21" t="n"/>
      <c r="D413" s="18" t="n"/>
      <c r="E413" s="21" t="n"/>
      <c r="F413" s="21" t="n"/>
      <c r="G413" s="24" t="n"/>
      <c r="H413" s="18" t="n"/>
      <c r="I413" s="21">
        <f>IF(OR(B413="完成",D413=""),"",IF(TODAY()&gt;D413,"逾期",""))</f>
        <v/>
      </c>
      <c r="J413" s="25">
        <f>IF(D413="","",D413-TODAY())</f>
        <v/>
      </c>
    </row>
    <row r="414">
      <c r="A414" s="21" t="n"/>
      <c r="B414" s="21" t="n"/>
      <c r="C414" s="21" t="n"/>
      <c r="D414" s="18" t="n"/>
      <c r="E414" s="21" t="n"/>
      <c r="F414" s="21" t="n"/>
      <c r="G414" s="24" t="n"/>
      <c r="H414" s="18" t="n"/>
      <c r="I414" s="21">
        <f>IF(OR(B414="完成",D414=""),"",IF(TODAY()&gt;D414,"逾期",""))</f>
        <v/>
      </c>
      <c r="J414" s="25">
        <f>IF(D414="","",D414-TODAY())</f>
        <v/>
      </c>
    </row>
    <row r="415">
      <c r="A415" s="21" t="n"/>
      <c r="B415" s="21" t="n"/>
      <c r="C415" s="21" t="n"/>
      <c r="D415" s="18" t="n"/>
      <c r="E415" s="21" t="n"/>
      <c r="F415" s="21" t="n"/>
      <c r="G415" s="24" t="n"/>
      <c r="H415" s="18" t="n"/>
      <c r="I415" s="21">
        <f>IF(OR(B415="完成",D415=""),"",IF(TODAY()&gt;D415,"逾期",""))</f>
        <v/>
      </c>
      <c r="J415" s="25">
        <f>IF(D415="","",D415-TODAY())</f>
        <v/>
      </c>
    </row>
    <row r="416">
      <c r="A416" s="21" t="n"/>
      <c r="B416" s="21" t="n"/>
      <c r="C416" s="21" t="n"/>
      <c r="D416" s="18" t="n"/>
      <c r="E416" s="21" t="n"/>
      <c r="F416" s="21" t="n"/>
      <c r="G416" s="24" t="n"/>
      <c r="H416" s="18" t="n"/>
      <c r="I416" s="21">
        <f>IF(OR(B416="完成",D416=""),"",IF(TODAY()&gt;D416,"逾期",""))</f>
        <v/>
      </c>
      <c r="J416" s="25">
        <f>IF(D416="","",D416-TODAY())</f>
        <v/>
      </c>
    </row>
    <row r="417">
      <c r="A417" s="21" t="n"/>
      <c r="B417" s="21" t="n"/>
      <c r="C417" s="21" t="n"/>
      <c r="D417" s="18" t="n"/>
      <c r="E417" s="21" t="n"/>
      <c r="F417" s="21" t="n"/>
      <c r="G417" s="24" t="n"/>
      <c r="H417" s="18" t="n"/>
      <c r="I417" s="21">
        <f>IF(OR(B417="完成",D417=""),"",IF(TODAY()&gt;D417,"逾期",""))</f>
        <v/>
      </c>
      <c r="J417" s="25">
        <f>IF(D417="","",D417-TODAY())</f>
        <v/>
      </c>
    </row>
    <row r="418">
      <c r="A418" s="21" t="n"/>
      <c r="B418" s="21" t="n"/>
      <c r="C418" s="21" t="n"/>
      <c r="D418" s="18" t="n"/>
      <c r="E418" s="21" t="n"/>
      <c r="F418" s="21" t="n"/>
      <c r="G418" s="24" t="n"/>
      <c r="H418" s="18" t="n"/>
      <c r="I418" s="21">
        <f>IF(OR(B418="完成",D418=""),"",IF(TODAY()&gt;D418,"逾期",""))</f>
        <v/>
      </c>
      <c r="J418" s="25">
        <f>IF(D418="","",D418-TODAY())</f>
        <v/>
      </c>
    </row>
    <row r="419">
      <c r="A419" s="21" t="n"/>
      <c r="B419" s="21" t="n"/>
      <c r="C419" s="21" t="n"/>
      <c r="D419" s="18" t="n"/>
      <c r="E419" s="21" t="n"/>
      <c r="F419" s="21" t="n"/>
      <c r="G419" s="24" t="n"/>
      <c r="H419" s="18" t="n"/>
      <c r="I419" s="21">
        <f>IF(OR(B419="完成",D419=""),"",IF(TODAY()&gt;D419,"逾期",""))</f>
        <v/>
      </c>
      <c r="J419" s="25">
        <f>IF(D419="","",D419-TODAY())</f>
        <v/>
      </c>
    </row>
    <row r="420">
      <c r="A420" s="21" t="n"/>
      <c r="B420" s="21" t="n"/>
      <c r="C420" s="21" t="n"/>
      <c r="D420" s="18" t="n"/>
      <c r="E420" s="21" t="n"/>
      <c r="F420" s="21" t="n"/>
      <c r="G420" s="24" t="n"/>
      <c r="H420" s="18" t="n"/>
      <c r="I420" s="21">
        <f>IF(OR(B420="完成",D420=""),"",IF(TODAY()&gt;D420,"逾期",""))</f>
        <v/>
      </c>
      <c r="J420" s="25">
        <f>IF(D420="","",D420-TODAY())</f>
        <v/>
      </c>
    </row>
    <row r="421">
      <c r="A421" s="21" t="n"/>
      <c r="B421" s="21" t="n"/>
      <c r="C421" s="21" t="n"/>
      <c r="D421" s="18" t="n"/>
      <c r="E421" s="21" t="n"/>
      <c r="F421" s="21" t="n"/>
      <c r="G421" s="24" t="n"/>
      <c r="H421" s="18" t="n"/>
      <c r="I421" s="21">
        <f>IF(OR(B421="完成",D421=""),"",IF(TODAY()&gt;D421,"逾期",""))</f>
        <v/>
      </c>
      <c r="J421" s="25">
        <f>IF(D421="","",D421-TODAY())</f>
        <v/>
      </c>
    </row>
    <row r="422">
      <c r="A422" s="21" t="n"/>
      <c r="B422" s="21" t="n"/>
      <c r="C422" s="21" t="n"/>
      <c r="D422" s="18" t="n"/>
      <c r="E422" s="21" t="n"/>
      <c r="F422" s="21" t="n"/>
      <c r="G422" s="24" t="n"/>
      <c r="H422" s="18" t="n"/>
      <c r="I422" s="21">
        <f>IF(OR(B422="完成",D422=""),"",IF(TODAY()&gt;D422,"逾期",""))</f>
        <v/>
      </c>
      <c r="J422" s="25">
        <f>IF(D422="","",D422-TODAY())</f>
        <v/>
      </c>
    </row>
    <row r="423">
      <c r="A423" s="21" t="n"/>
      <c r="B423" s="21" t="n"/>
      <c r="C423" s="21" t="n"/>
      <c r="D423" s="18" t="n"/>
      <c r="E423" s="21" t="n"/>
      <c r="F423" s="21" t="n"/>
      <c r="G423" s="24" t="n"/>
      <c r="H423" s="18" t="n"/>
      <c r="I423" s="21">
        <f>IF(OR(B423="完成",D423=""),"",IF(TODAY()&gt;D423,"逾期",""))</f>
        <v/>
      </c>
      <c r="J423" s="25">
        <f>IF(D423="","",D423-TODAY())</f>
        <v/>
      </c>
    </row>
    <row r="424">
      <c r="A424" s="21" t="n"/>
      <c r="B424" s="21" t="n"/>
      <c r="C424" s="21" t="n"/>
      <c r="D424" s="18" t="n"/>
      <c r="E424" s="21" t="n"/>
      <c r="F424" s="21" t="n"/>
      <c r="G424" s="24" t="n"/>
      <c r="H424" s="18" t="n"/>
      <c r="I424" s="21">
        <f>IF(OR(B424="完成",D424=""),"",IF(TODAY()&gt;D424,"逾期",""))</f>
        <v/>
      </c>
      <c r="J424" s="25">
        <f>IF(D424="","",D424-TODAY())</f>
        <v/>
      </c>
    </row>
    <row r="425">
      <c r="A425" s="21" t="n"/>
      <c r="B425" s="21" t="n"/>
      <c r="C425" s="21" t="n"/>
      <c r="D425" s="18" t="n"/>
      <c r="E425" s="21" t="n"/>
      <c r="F425" s="21" t="n"/>
      <c r="G425" s="24" t="n"/>
      <c r="H425" s="18" t="n"/>
      <c r="I425" s="21">
        <f>IF(OR(B425="完成",D425=""),"",IF(TODAY()&gt;D425,"逾期",""))</f>
        <v/>
      </c>
      <c r="J425" s="25">
        <f>IF(D425="","",D425-TODAY())</f>
        <v/>
      </c>
    </row>
    <row r="426">
      <c r="A426" s="21" t="n"/>
      <c r="B426" s="21" t="n"/>
      <c r="C426" s="21" t="n"/>
      <c r="D426" s="18" t="n"/>
      <c r="E426" s="21" t="n"/>
      <c r="F426" s="21" t="n"/>
      <c r="G426" s="24" t="n"/>
      <c r="H426" s="18" t="n"/>
      <c r="I426" s="21">
        <f>IF(OR(B426="完成",D426=""),"",IF(TODAY()&gt;D426,"逾期",""))</f>
        <v/>
      </c>
      <c r="J426" s="25">
        <f>IF(D426="","",D426-TODAY())</f>
        <v/>
      </c>
    </row>
    <row r="427">
      <c r="A427" s="21" t="n"/>
      <c r="B427" s="21" t="n"/>
      <c r="C427" s="21" t="n"/>
      <c r="D427" s="18" t="n"/>
      <c r="E427" s="21" t="n"/>
      <c r="F427" s="21" t="n"/>
      <c r="G427" s="24" t="n"/>
      <c r="H427" s="18" t="n"/>
      <c r="I427" s="21">
        <f>IF(OR(B427="完成",D427=""),"",IF(TODAY()&gt;D427,"逾期",""))</f>
        <v/>
      </c>
      <c r="J427" s="25">
        <f>IF(D427="","",D427-TODAY())</f>
        <v/>
      </c>
    </row>
    <row r="428">
      <c r="A428" s="21" t="n"/>
      <c r="B428" s="21" t="n"/>
      <c r="C428" s="21" t="n"/>
      <c r="D428" s="18" t="n"/>
      <c r="E428" s="21" t="n"/>
      <c r="F428" s="21" t="n"/>
      <c r="G428" s="24" t="n"/>
      <c r="H428" s="18" t="n"/>
      <c r="I428" s="21">
        <f>IF(OR(B428="完成",D428=""),"",IF(TODAY()&gt;D428,"逾期",""))</f>
        <v/>
      </c>
      <c r="J428" s="25">
        <f>IF(D428="","",D428-TODAY())</f>
        <v/>
      </c>
    </row>
    <row r="429">
      <c r="A429" s="21" t="n"/>
      <c r="B429" s="21" t="n"/>
      <c r="C429" s="21" t="n"/>
      <c r="D429" s="18" t="n"/>
      <c r="E429" s="21" t="n"/>
      <c r="F429" s="21" t="n"/>
      <c r="G429" s="24" t="n"/>
      <c r="H429" s="18" t="n"/>
      <c r="I429" s="21">
        <f>IF(OR(B429="完成",D429=""),"",IF(TODAY()&gt;D429,"逾期",""))</f>
        <v/>
      </c>
      <c r="J429" s="25">
        <f>IF(D429="","",D429-TODAY())</f>
        <v/>
      </c>
    </row>
    <row r="430">
      <c r="A430" s="21" t="n"/>
      <c r="B430" s="21" t="n"/>
      <c r="C430" s="21" t="n"/>
      <c r="D430" s="18" t="n"/>
      <c r="E430" s="21" t="n"/>
      <c r="F430" s="21" t="n"/>
      <c r="G430" s="24" t="n"/>
      <c r="H430" s="18" t="n"/>
      <c r="I430" s="21">
        <f>IF(OR(B430="完成",D430=""),"",IF(TODAY()&gt;D430,"逾期",""))</f>
        <v/>
      </c>
      <c r="J430" s="25">
        <f>IF(D430="","",D430-TODAY())</f>
        <v/>
      </c>
    </row>
    <row r="431">
      <c r="A431" s="21" t="n"/>
      <c r="B431" s="21" t="n"/>
      <c r="C431" s="21" t="n"/>
      <c r="D431" s="18" t="n"/>
      <c r="E431" s="21" t="n"/>
      <c r="F431" s="21" t="n"/>
      <c r="G431" s="24" t="n"/>
      <c r="H431" s="18" t="n"/>
      <c r="I431" s="21">
        <f>IF(OR(B431="完成",D431=""),"",IF(TODAY()&gt;D431,"逾期",""))</f>
        <v/>
      </c>
      <c r="J431" s="25">
        <f>IF(D431="","",D431-TODAY())</f>
        <v/>
      </c>
    </row>
    <row r="432">
      <c r="A432" s="21" t="n"/>
      <c r="B432" s="21" t="n"/>
      <c r="C432" s="21" t="n"/>
      <c r="D432" s="18" t="n"/>
      <c r="E432" s="21" t="n"/>
      <c r="F432" s="21" t="n"/>
      <c r="G432" s="24" t="n"/>
      <c r="H432" s="18" t="n"/>
      <c r="I432" s="21">
        <f>IF(OR(B432="完成",D432=""),"",IF(TODAY()&gt;D432,"逾期",""))</f>
        <v/>
      </c>
      <c r="J432" s="25">
        <f>IF(D432="","",D432-TODAY())</f>
        <v/>
      </c>
    </row>
    <row r="433">
      <c r="A433" s="21" t="n"/>
      <c r="B433" s="21" t="n"/>
      <c r="C433" s="21" t="n"/>
      <c r="D433" s="18" t="n"/>
      <c r="E433" s="21" t="n"/>
      <c r="F433" s="21" t="n"/>
      <c r="G433" s="24" t="n"/>
      <c r="H433" s="18" t="n"/>
      <c r="I433" s="21">
        <f>IF(OR(B433="完成",D433=""),"",IF(TODAY()&gt;D433,"逾期",""))</f>
        <v/>
      </c>
      <c r="J433" s="25">
        <f>IF(D433="","",D433-TODAY())</f>
        <v/>
      </c>
    </row>
    <row r="434">
      <c r="A434" s="21" t="n"/>
      <c r="B434" s="21" t="n"/>
      <c r="C434" s="21" t="n"/>
      <c r="D434" s="18" t="n"/>
      <c r="E434" s="21" t="n"/>
      <c r="F434" s="21" t="n"/>
      <c r="G434" s="24" t="n"/>
      <c r="H434" s="18" t="n"/>
      <c r="I434" s="21">
        <f>IF(OR(B434="完成",D434=""),"",IF(TODAY()&gt;D434,"逾期",""))</f>
        <v/>
      </c>
      <c r="J434" s="25">
        <f>IF(D434="","",D434-TODAY())</f>
        <v/>
      </c>
    </row>
    <row r="435">
      <c r="A435" s="21" t="n"/>
      <c r="B435" s="21" t="n"/>
      <c r="C435" s="21" t="n"/>
      <c r="D435" s="18" t="n"/>
      <c r="E435" s="21" t="n"/>
      <c r="F435" s="21" t="n"/>
      <c r="G435" s="24" t="n"/>
      <c r="H435" s="18" t="n"/>
      <c r="I435" s="21">
        <f>IF(OR(B435="完成",D435=""),"",IF(TODAY()&gt;D435,"逾期",""))</f>
        <v/>
      </c>
      <c r="J435" s="25">
        <f>IF(D435="","",D435-TODAY())</f>
        <v/>
      </c>
    </row>
    <row r="436">
      <c r="A436" s="21" t="n"/>
      <c r="B436" s="21" t="n"/>
      <c r="C436" s="21" t="n"/>
      <c r="D436" s="18" t="n"/>
      <c r="E436" s="21" t="n"/>
      <c r="F436" s="21" t="n"/>
      <c r="G436" s="24" t="n"/>
      <c r="H436" s="18" t="n"/>
      <c r="I436" s="21">
        <f>IF(OR(B436="完成",D436=""),"",IF(TODAY()&gt;D436,"逾期",""))</f>
        <v/>
      </c>
      <c r="J436" s="25">
        <f>IF(D436="","",D436-TODAY())</f>
        <v/>
      </c>
    </row>
    <row r="437">
      <c r="A437" s="21" t="n"/>
      <c r="B437" s="21" t="n"/>
      <c r="C437" s="21" t="n"/>
      <c r="D437" s="18" t="n"/>
      <c r="E437" s="21" t="n"/>
      <c r="F437" s="21" t="n"/>
      <c r="G437" s="24" t="n"/>
      <c r="H437" s="18" t="n"/>
      <c r="I437" s="21">
        <f>IF(OR(B437="完成",D437=""),"",IF(TODAY()&gt;D437,"逾期",""))</f>
        <v/>
      </c>
      <c r="J437" s="25">
        <f>IF(D437="","",D437-TODAY())</f>
        <v/>
      </c>
    </row>
    <row r="438">
      <c r="A438" s="21" t="n"/>
      <c r="B438" s="21" t="n"/>
      <c r="C438" s="21" t="n"/>
      <c r="D438" s="18" t="n"/>
      <c r="E438" s="21" t="n"/>
      <c r="F438" s="21" t="n"/>
      <c r="G438" s="24" t="n"/>
      <c r="H438" s="18" t="n"/>
      <c r="I438" s="21">
        <f>IF(OR(B438="完成",D438=""),"",IF(TODAY()&gt;D438,"逾期",""))</f>
        <v/>
      </c>
      <c r="J438" s="25">
        <f>IF(D438="","",D438-TODAY())</f>
        <v/>
      </c>
    </row>
    <row r="439">
      <c r="A439" s="21" t="n"/>
      <c r="B439" s="21" t="n"/>
      <c r="C439" s="21" t="n"/>
      <c r="D439" s="18" t="n"/>
      <c r="E439" s="21" t="n"/>
      <c r="F439" s="21" t="n"/>
      <c r="G439" s="24" t="n"/>
      <c r="H439" s="18" t="n"/>
      <c r="I439" s="21">
        <f>IF(OR(B439="完成",D439=""),"",IF(TODAY()&gt;D439,"逾期",""))</f>
        <v/>
      </c>
      <c r="J439" s="25">
        <f>IF(D439="","",D439-TODAY())</f>
        <v/>
      </c>
    </row>
    <row r="440">
      <c r="A440" s="21" t="n"/>
      <c r="B440" s="21" t="n"/>
      <c r="C440" s="21" t="n"/>
      <c r="D440" s="18" t="n"/>
      <c r="E440" s="21" t="n"/>
      <c r="F440" s="21" t="n"/>
      <c r="G440" s="24" t="n"/>
      <c r="H440" s="18" t="n"/>
      <c r="I440" s="21">
        <f>IF(OR(B440="完成",D440=""),"",IF(TODAY()&gt;D440,"逾期",""))</f>
        <v/>
      </c>
      <c r="J440" s="25">
        <f>IF(D440="","",D440-TODAY())</f>
        <v/>
      </c>
    </row>
    <row r="441">
      <c r="A441" s="21" t="n"/>
      <c r="B441" s="21" t="n"/>
      <c r="C441" s="21" t="n"/>
      <c r="D441" s="18" t="n"/>
      <c r="E441" s="21" t="n"/>
      <c r="F441" s="21" t="n"/>
      <c r="G441" s="24" t="n"/>
      <c r="H441" s="18" t="n"/>
      <c r="I441" s="21">
        <f>IF(OR(B441="完成",D441=""),"",IF(TODAY()&gt;D441,"逾期",""))</f>
        <v/>
      </c>
      <c r="J441" s="25">
        <f>IF(D441="","",D441-TODAY())</f>
        <v/>
      </c>
    </row>
    <row r="442">
      <c r="A442" s="21" t="n"/>
      <c r="B442" s="21" t="n"/>
      <c r="C442" s="21" t="n"/>
      <c r="D442" s="18" t="n"/>
      <c r="E442" s="21" t="n"/>
      <c r="F442" s="21" t="n"/>
      <c r="G442" s="24" t="n"/>
      <c r="H442" s="18" t="n"/>
      <c r="I442" s="21">
        <f>IF(OR(B442="完成",D442=""),"",IF(TODAY()&gt;D442,"逾期",""))</f>
        <v/>
      </c>
      <c r="J442" s="25">
        <f>IF(D442="","",D442-TODAY())</f>
        <v/>
      </c>
    </row>
    <row r="443">
      <c r="A443" s="21" t="n"/>
      <c r="B443" s="21" t="n"/>
      <c r="C443" s="21" t="n"/>
      <c r="D443" s="18" t="n"/>
      <c r="E443" s="21" t="n"/>
      <c r="F443" s="21" t="n"/>
      <c r="G443" s="24" t="n"/>
      <c r="H443" s="18" t="n"/>
      <c r="I443" s="21">
        <f>IF(OR(B443="完成",D443=""),"",IF(TODAY()&gt;D443,"逾期",""))</f>
        <v/>
      </c>
      <c r="J443" s="25">
        <f>IF(D443="","",D443-TODAY())</f>
        <v/>
      </c>
    </row>
    <row r="444">
      <c r="A444" s="21" t="n"/>
      <c r="B444" s="21" t="n"/>
      <c r="C444" s="21" t="n"/>
      <c r="D444" s="18" t="n"/>
      <c r="E444" s="21" t="n"/>
      <c r="F444" s="21" t="n"/>
      <c r="G444" s="24" t="n"/>
      <c r="H444" s="18" t="n"/>
      <c r="I444" s="21">
        <f>IF(OR(B444="完成",D444=""),"",IF(TODAY()&gt;D444,"逾期",""))</f>
        <v/>
      </c>
      <c r="J444" s="25">
        <f>IF(D444="","",D444-TODAY())</f>
        <v/>
      </c>
    </row>
    <row r="445">
      <c r="A445" s="21" t="n"/>
      <c r="B445" s="21" t="n"/>
      <c r="C445" s="21" t="n"/>
      <c r="D445" s="18" t="n"/>
      <c r="E445" s="21" t="n"/>
      <c r="F445" s="21" t="n"/>
      <c r="G445" s="24" t="n"/>
      <c r="H445" s="18" t="n"/>
      <c r="I445" s="21">
        <f>IF(OR(B445="完成",D445=""),"",IF(TODAY()&gt;D445,"逾期",""))</f>
        <v/>
      </c>
      <c r="J445" s="25">
        <f>IF(D445="","",D445-TODAY())</f>
        <v/>
      </c>
    </row>
    <row r="446">
      <c r="A446" s="21" t="n"/>
      <c r="B446" s="21" t="n"/>
      <c r="C446" s="21" t="n"/>
      <c r="D446" s="18" t="n"/>
      <c r="E446" s="21" t="n"/>
      <c r="F446" s="21" t="n"/>
      <c r="G446" s="24" t="n"/>
      <c r="H446" s="18" t="n"/>
      <c r="I446" s="21">
        <f>IF(OR(B446="完成",D446=""),"",IF(TODAY()&gt;D446,"逾期",""))</f>
        <v/>
      </c>
      <c r="J446" s="25">
        <f>IF(D446="","",D446-TODAY())</f>
        <v/>
      </c>
    </row>
    <row r="447">
      <c r="A447" s="21" t="n"/>
      <c r="B447" s="21" t="n"/>
      <c r="C447" s="21" t="n"/>
      <c r="D447" s="18" t="n"/>
      <c r="E447" s="21" t="n"/>
      <c r="F447" s="21" t="n"/>
      <c r="G447" s="24" t="n"/>
      <c r="H447" s="18" t="n"/>
      <c r="I447" s="21">
        <f>IF(OR(B447="完成",D447=""),"",IF(TODAY()&gt;D447,"逾期",""))</f>
        <v/>
      </c>
      <c r="J447" s="25">
        <f>IF(D447="","",D447-TODAY())</f>
        <v/>
      </c>
    </row>
    <row r="448">
      <c r="A448" s="21" t="n"/>
      <c r="B448" s="21" t="n"/>
      <c r="C448" s="21" t="n"/>
      <c r="D448" s="18" t="n"/>
      <c r="E448" s="21" t="n"/>
      <c r="F448" s="21" t="n"/>
      <c r="G448" s="24" t="n"/>
      <c r="H448" s="18" t="n"/>
      <c r="I448" s="21">
        <f>IF(OR(B448="完成",D448=""),"",IF(TODAY()&gt;D448,"逾期",""))</f>
        <v/>
      </c>
      <c r="J448" s="25">
        <f>IF(D448="","",D448-TODAY())</f>
        <v/>
      </c>
    </row>
    <row r="449">
      <c r="A449" s="21" t="n"/>
      <c r="B449" s="21" t="n"/>
      <c r="C449" s="21" t="n"/>
      <c r="D449" s="18" t="n"/>
      <c r="E449" s="21" t="n"/>
      <c r="F449" s="21" t="n"/>
      <c r="G449" s="24" t="n"/>
      <c r="H449" s="18" t="n"/>
      <c r="I449" s="21">
        <f>IF(OR(B449="完成",D449=""),"",IF(TODAY()&gt;D449,"逾期",""))</f>
        <v/>
      </c>
      <c r="J449" s="25">
        <f>IF(D449="","",D449-TODAY())</f>
        <v/>
      </c>
    </row>
    <row r="450">
      <c r="A450" s="21" t="n"/>
      <c r="B450" s="21" t="n"/>
      <c r="C450" s="21" t="n"/>
      <c r="D450" s="18" t="n"/>
      <c r="E450" s="21" t="n"/>
      <c r="F450" s="21" t="n"/>
      <c r="G450" s="24" t="n"/>
      <c r="H450" s="18" t="n"/>
      <c r="I450" s="21">
        <f>IF(OR(B450="完成",D450=""),"",IF(TODAY()&gt;D450,"逾期",""))</f>
        <v/>
      </c>
      <c r="J450" s="25">
        <f>IF(D450="","",D450-TODAY())</f>
        <v/>
      </c>
    </row>
    <row r="451">
      <c r="A451" s="21" t="n"/>
      <c r="B451" s="21" t="n"/>
      <c r="C451" s="21" t="n"/>
      <c r="D451" s="18" t="n"/>
      <c r="E451" s="21" t="n"/>
      <c r="F451" s="21" t="n"/>
      <c r="G451" s="24" t="n"/>
      <c r="H451" s="18" t="n"/>
      <c r="I451" s="21">
        <f>IF(OR(B451="完成",D451=""),"",IF(TODAY()&gt;D451,"逾期",""))</f>
        <v/>
      </c>
      <c r="J451" s="25">
        <f>IF(D451="","",D451-TODAY())</f>
        <v/>
      </c>
    </row>
    <row r="452">
      <c r="A452" s="21" t="n"/>
      <c r="B452" s="21" t="n"/>
      <c r="C452" s="21" t="n"/>
      <c r="D452" s="18" t="n"/>
      <c r="E452" s="21" t="n"/>
      <c r="F452" s="21" t="n"/>
      <c r="G452" s="24" t="n"/>
      <c r="H452" s="18" t="n"/>
      <c r="I452" s="21">
        <f>IF(OR(B452="完成",D452=""),"",IF(TODAY()&gt;D452,"逾期",""))</f>
        <v/>
      </c>
      <c r="J452" s="25">
        <f>IF(D452="","",D452-TODAY())</f>
        <v/>
      </c>
    </row>
    <row r="453">
      <c r="A453" s="21" t="n"/>
      <c r="B453" s="21" t="n"/>
      <c r="C453" s="21" t="n"/>
      <c r="D453" s="18" t="n"/>
      <c r="E453" s="21" t="n"/>
      <c r="F453" s="21" t="n"/>
      <c r="G453" s="24" t="n"/>
      <c r="H453" s="18" t="n"/>
      <c r="I453" s="21">
        <f>IF(OR(B453="完成",D453=""),"",IF(TODAY()&gt;D453,"逾期",""))</f>
        <v/>
      </c>
      <c r="J453" s="25">
        <f>IF(D453="","",D453-TODAY())</f>
        <v/>
      </c>
    </row>
    <row r="454">
      <c r="A454" s="21" t="n"/>
      <c r="B454" s="21" t="n"/>
      <c r="C454" s="21" t="n"/>
      <c r="D454" s="18" t="n"/>
      <c r="E454" s="21" t="n"/>
      <c r="F454" s="21" t="n"/>
      <c r="G454" s="24" t="n"/>
      <c r="H454" s="18" t="n"/>
      <c r="I454" s="21">
        <f>IF(OR(B454="完成",D454=""),"",IF(TODAY()&gt;D454,"逾期",""))</f>
        <v/>
      </c>
      <c r="J454" s="25">
        <f>IF(D454="","",D454-TODAY())</f>
        <v/>
      </c>
    </row>
    <row r="455">
      <c r="A455" s="21" t="n"/>
      <c r="B455" s="21" t="n"/>
      <c r="C455" s="21" t="n"/>
      <c r="D455" s="18" t="n"/>
      <c r="E455" s="21" t="n"/>
      <c r="F455" s="21" t="n"/>
      <c r="G455" s="24" t="n"/>
      <c r="H455" s="18" t="n"/>
      <c r="I455" s="21">
        <f>IF(OR(B455="完成",D455=""),"",IF(TODAY()&gt;D455,"逾期",""))</f>
        <v/>
      </c>
      <c r="J455" s="25">
        <f>IF(D455="","",D455-TODAY())</f>
        <v/>
      </c>
    </row>
    <row r="456">
      <c r="A456" s="21" t="n"/>
      <c r="B456" s="21" t="n"/>
      <c r="C456" s="21" t="n"/>
      <c r="D456" s="18" t="n"/>
      <c r="E456" s="21" t="n"/>
      <c r="F456" s="21" t="n"/>
      <c r="G456" s="24" t="n"/>
      <c r="H456" s="18" t="n"/>
      <c r="I456" s="21">
        <f>IF(OR(B456="完成",D456=""),"",IF(TODAY()&gt;D456,"逾期",""))</f>
        <v/>
      </c>
      <c r="J456" s="25">
        <f>IF(D456="","",D456-TODAY())</f>
        <v/>
      </c>
    </row>
    <row r="457">
      <c r="A457" s="21" t="n"/>
      <c r="B457" s="21" t="n"/>
      <c r="C457" s="21" t="n"/>
      <c r="D457" s="18" t="n"/>
      <c r="E457" s="21" t="n"/>
      <c r="F457" s="21" t="n"/>
      <c r="G457" s="24" t="n"/>
      <c r="H457" s="18" t="n"/>
      <c r="I457" s="21">
        <f>IF(OR(B457="完成",D457=""),"",IF(TODAY()&gt;D457,"逾期",""))</f>
        <v/>
      </c>
      <c r="J457" s="25">
        <f>IF(D457="","",D457-TODAY())</f>
        <v/>
      </c>
    </row>
    <row r="458">
      <c r="A458" s="21" t="n"/>
      <c r="B458" s="21" t="n"/>
      <c r="C458" s="21" t="n"/>
      <c r="D458" s="18" t="n"/>
      <c r="E458" s="21" t="n"/>
      <c r="F458" s="21" t="n"/>
      <c r="G458" s="24" t="n"/>
      <c r="H458" s="18" t="n"/>
      <c r="I458" s="21">
        <f>IF(OR(B458="完成",D458=""),"",IF(TODAY()&gt;D458,"逾期",""))</f>
        <v/>
      </c>
      <c r="J458" s="25">
        <f>IF(D458="","",D458-TODAY())</f>
        <v/>
      </c>
    </row>
    <row r="459">
      <c r="A459" s="21" t="n"/>
      <c r="B459" s="21" t="n"/>
      <c r="C459" s="21" t="n"/>
      <c r="D459" s="18" t="n"/>
      <c r="E459" s="21" t="n"/>
      <c r="F459" s="21" t="n"/>
      <c r="G459" s="24" t="n"/>
      <c r="H459" s="18" t="n"/>
      <c r="I459" s="21">
        <f>IF(OR(B459="完成",D459=""),"",IF(TODAY()&gt;D459,"逾期",""))</f>
        <v/>
      </c>
      <c r="J459" s="25">
        <f>IF(D459="","",D459-TODAY())</f>
        <v/>
      </c>
    </row>
    <row r="460">
      <c r="A460" s="21" t="n"/>
      <c r="B460" s="21" t="n"/>
      <c r="C460" s="21" t="n"/>
      <c r="D460" s="18" t="n"/>
      <c r="E460" s="21" t="n"/>
      <c r="F460" s="21" t="n"/>
      <c r="G460" s="24" t="n"/>
      <c r="H460" s="18" t="n"/>
      <c r="I460" s="21">
        <f>IF(OR(B460="完成",D460=""),"",IF(TODAY()&gt;D460,"逾期",""))</f>
        <v/>
      </c>
      <c r="J460" s="25">
        <f>IF(D460="","",D460-TODAY())</f>
        <v/>
      </c>
    </row>
    <row r="461">
      <c r="A461" s="21" t="n"/>
      <c r="B461" s="21" t="n"/>
      <c r="C461" s="21" t="n"/>
      <c r="D461" s="18" t="n"/>
      <c r="E461" s="21" t="n"/>
      <c r="F461" s="21" t="n"/>
      <c r="G461" s="24" t="n"/>
      <c r="H461" s="18" t="n"/>
      <c r="I461" s="21">
        <f>IF(OR(B461="完成",D461=""),"",IF(TODAY()&gt;D461,"逾期",""))</f>
        <v/>
      </c>
      <c r="J461" s="25">
        <f>IF(D461="","",D461-TODAY())</f>
        <v/>
      </c>
    </row>
    <row r="462">
      <c r="A462" s="21" t="n"/>
      <c r="B462" s="21" t="n"/>
      <c r="C462" s="21" t="n"/>
      <c r="D462" s="18" t="n"/>
      <c r="E462" s="21" t="n"/>
      <c r="F462" s="21" t="n"/>
      <c r="G462" s="24" t="n"/>
      <c r="H462" s="18" t="n"/>
      <c r="I462" s="21">
        <f>IF(OR(B462="完成",D462=""),"",IF(TODAY()&gt;D462,"逾期",""))</f>
        <v/>
      </c>
      <c r="J462" s="25">
        <f>IF(D462="","",D462-TODAY())</f>
        <v/>
      </c>
    </row>
    <row r="463">
      <c r="A463" s="21" t="n"/>
      <c r="B463" s="21" t="n"/>
      <c r="C463" s="21" t="n"/>
      <c r="D463" s="18" t="n"/>
      <c r="E463" s="21" t="n"/>
      <c r="F463" s="21" t="n"/>
      <c r="G463" s="24" t="n"/>
      <c r="H463" s="18" t="n"/>
      <c r="I463" s="21">
        <f>IF(OR(B463="完成",D463=""),"",IF(TODAY()&gt;D463,"逾期",""))</f>
        <v/>
      </c>
      <c r="J463" s="25">
        <f>IF(D463="","",D463-TODAY())</f>
        <v/>
      </c>
    </row>
    <row r="464">
      <c r="A464" s="21" t="n"/>
      <c r="B464" s="21" t="n"/>
      <c r="C464" s="21" t="n"/>
      <c r="D464" s="18" t="n"/>
      <c r="E464" s="21" t="n"/>
      <c r="F464" s="21" t="n"/>
      <c r="G464" s="24" t="n"/>
      <c r="H464" s="18" t="n"/>
      <c r="I464" s="21">
        <f>IF(OR(B464="完成",D464=""),"",IF(TODAY()&gt;D464,"逾期",""))</f>
        <v/>
      </c>
      <c r="J464" s="25">
        <f>IF(D464="","",D464-TODAY())</f>
        <v/>
      </c>
    </row>
    <row r="465">
      <c r="A465" s="21" t="n"/>
      <c r="B465" s="21" t="n"/>
      <c r="C465" s="21" t="n"/>
      <c r="D465" s="18" t="n"/>
      <c r="E465" s="21" t="n"/>
      <c r="F465" s="21" t="n"/>
      <c r="G465" s="24" t="n"/>
      <c r="H465" s="18" t="n"/>
      <c r="I465" s="21">
        <f>IF(OR(B465="完成",D465=""),"",IF(TODAY()&gt;D465,"逾期",""))</f>
        <v/>
      </c>
      <c r="J465" s="25">
        <f>IF(D465="","",D465-TODAY())</f>
        <v/>
      </c>
    </row>
    <row r="466">
      <c r="A466" s="21" t="n"/>
      <c r="B466" s="21" t="n"/>
      <c r="C466" s="21" t="n"/>
      <c r="D466" s="18" t="n"/>
      <c r="E466" s="21" t="n"/>
      <c r="F466" s="21" t="n"/>
      <c r="G466" s="24" t="n"/>
      <c r="H466" s="18" t="n"/>
      <c r="I466" s="21">
        <f>IF(OR(B466="完成",D466=""),"",IF(TODAY()&gt;D466,"逾期",""))</f>
        <v/>
      </c>
      <c r="J466" s="25">
        <f>IF(D466="","",D466-TODAY())</f>
        <v/>
      </c>
    </row>
    <row r="467">
      <c r="A467" s="21" t="n"/>
      <c r="B467" s="21" t="n"/>
      <c r="C467" s="21" t="n"/>
      <c r="D467" s="18" t="n"/>
      <c r="E467" s="21" t="n"/>
      <c r="F467" s="21" t="n"/>
      <c r="G467" s="24" t="n"/>
      <c r="H467" s="18" t="n"/>
      <c r="I467" s="21">
        <f>IF(OR(B467="完成",D467=""),"",IF(TODAY()&gt;D467,"逾期",""))</f>
        <v/>
      </c>
      <c r="J467" s="25">
        <f>IF(D467="","",D467-TODAY())</f>
        <v/>
      </c>
    </row>
    <row r="468">
      <c r="A468" s="21" t="n"/>
      <c r="B468" s="21" t="n"/>
      <c r="C468" s="21" t="n"/>
      <c r="D468" s="18" t="n"/>
      <c r="E468" s="21" t="n"/>
      <c r="F468" s="21" t="n"/>
      <c r="G468" s="24" t="n"/>
      <c r="H468" s="18" t="n"/>
      <c r="I468" s="21">
        <f>IF(OR(B468="完成",D468=""),"",IF(TODAY()&gt;D468,"逾期",""))</f>
        <v/>
      </c>
      <c r="J468" s="25">
        <f>IF(D468="","",D468-TODAY())</f>
        <v/>
      </c>
    </row>
    <row r="469">
      <c r="A469" s="21" t="n"/>
      <c r="B469" s="21" t="n"/>
      <c r="C469" s="21" t="n"/>
      <c r="D469" s="18" t="n"/>
      <c r="E469" s="21" t="n"/>
      <c r="F469" s="21" t="n"/>
      <c r="G469" s="24" t="n"/>
      <c r="H469" s="18" t="n"/>
      <c r="I469" s="21">
        <f>IF(OR(B469="完成",D469=""),"",IF(TODAY()&gt;D469,"逾期",""))</f>
        <v/>
      </c>
      <c r="J469" s="25">
        <f>IF(D469="","",D469-TODAY())</f>
        <v/>
      </c>
    </row>
    <row r="470">
      <c r="A470" s="21" t="n"/>
      <c r="B470" s="21" t="n"/>
      <c r="C470" s="21" t="n"/>
      <c r="D470" s="18" t="n"/>
      <c r="E470" s="21" t="n"/>
      <c r="F470" s="21" t="n"/>
      <c r="G470" s="24" t="n"/>
      <c r="H470" s="18" t="n"/>
      <c r="I470" s="21">
        <f>IF(OR(B470="完成",D470=""),"",IF(TODAY()&gt;D470,"逾期",""))</f>
        <v/>
      </c>
      <c r="J470" s="25">
        <f>IF(D470="","",D470-TODAY())</f>
        <v/>
      </c>
    </row>
    <row r="471">
      <c r="A471" s="21" t="n"/>
      <c r="B471" s="21" t="n"/>
      <c r="C471" s="21" t="n"/>
      <c r="D471" s="18" t="n"/>
      <c r="E471" s="21" t="n"/>
      <c r="F471" s="21" t="n"/>
      <c r="G471" s="24" t="n"/>
      <c r="H471" s="18" t="n"/>
      <c r="I471" s="21">
        <f>IF(OR(B471="完成",D471=""),"",IF(TODAY()&gt;D471,"逾期",""))</f>
        <v/>
      </c>
      <c r="J471" s="25">
        <f>IF(D471="","",D471-TODAY())</f>
        <v/>
      </c>
    </row>
    <row r="472">
      <c r="A472" s="21" t="n"/>
      <c r="B472" s="21" t="n"/>
      <c r="C472" s="21" t="n"/>
      <c r="D472" s="18" t="n"/>
      <c r="E472" s="21" t="n"/>
      <c r="F472" s="21" t="n"/>
      <c r="G472" s="24" t="n"/>
      <c r="H472" s="18" t="n"/>
      <c r="I472" s="21">
        <f>IF(OR(B472="完成",D472=""),"",IF(TODAY()&gt;D472,"逾期",""))</f>
        <v/>
      </c>
      <c r="J472" s="25">
        <f>IF(D472="","",D472-TODAY())</f>
        <v/>
      </c>
    </row>
    <row r="473">
      <c r="A473" s="21" t="n"/>
      <c r="B473" s="21" t="n"/>
      <c r="C473" s="21" t="n"/>
      <c r="D473" s="18" t="n"/>
      <c r="E473" s="21" t="n"/>
      <c r="F473" s="21" t="n"/>
      <c r="G473" s="24" t="n"/>
      <c r="H473" s="18" t="n"/>
      <c r="I473" s="21">
        <f>IF(OR(B473="完成",D473=""),"",IF(TODAY()&gt;D473,"逾期",""))</f>
        <v/>
      </c>
      <c r="J473" s="25">
        <f>IF(D473="","",D473-TODAY())</f>
        <v/>
      </c>
    </row>
    <row r="474">
      <c r="A474" s="21" t="n"/>
      <c r="B474" s="21" t="n"/>
      <c r="C474" s="21" t="n"/>
      <c r="D474" s="18" t="n"/>
      <c r="E474" s="21" t="n"/>
      <c r="F474" s="21" t="n"/>
      <c r="G474" s="24" t="n"/>
      <c r="H474" s="18" t="n"/>
      <c r="I474" s="21">
        <f>IF(OR(B474="完成",D474=""),"",IF(TODAY()&gt;D474,"逾期",""))</f>
        <v/>
      </c>
      <c r="J474" s="25">
        <f>IF(D474="","",D474-TODAY())</f>
        <v/>
      </c>
    </row>
    <row r="475">
      <c r="A475" s="21" t="n"/>
      <c r="B475" s="21" t="n"/>
      <c r="C475" s="21" t="n"/>
      <c r="D475" s="18" t="n"/>
      <c r="E475" s="21" t="n"/>
      <c r="F475" s="21" t="n"/>
      <c r="G475" s="24" t="n"/>
      <c r="H475" s="18" t="n"/>
      <c r="I475" s="21">
        <f>IF(OR(B475="完成",D475=""),"",IF(TODAY()&gt;D475,"逾期",""))</f>
        <v/>
      </c>
      <c r="J475" s="25">
        <f>IF(D475="","",D475-TODAY())</f>
        <v/>
      </c>
    </row>
    <row r="476">
      <c r="A476" s="21" t="n"/>
      <c r="B476" s="21" t="n"/>
      <c r="C476" s="21" t="n"/>
      <c r="D476" s="18" t="n"/>
      <c r="E476" s="21" t="n"/>
      <c r="F476" s="21" t="n"/>
      <c r="G476" s="24" t="n"/>
      <c r="H476" s="18" t="n"/>
      <c r="I476" s="21">
        <f>IF(OR(B476="完成",D476=""),"",IF(TODAY()&gt;D476,"逾期",""))</f>
        <v/>
      </c>
      <c r="J476" s="25">
        <f>IF(D476="","",D476-TODAY())</f>
        <v/>
      </c>
    </row>
    <row r="477">
      <c r="A477" s="21" t="n"/>
      <c r="B477" s="21" t="n"/>
      <c r="C477" s="21" t="n"/>
      <c r="D477" s="18" t="n"/>
      <c r="E477" s="21" t="n"/>
      <c r="F477" s="21" t="n"/>
      <c r="G477" s="24" t="n"/>
      <c r="H477" s="18" t="n"/>
      <c r="I477" s="21">
        <f>IF(OR(B477="完成",D477=""),"",IF(TODAY()&gt;D477,"逾期",""))</f>
        <v/>
      </c>
      <c r="J477" s="25">
        <f>IF(D477="","",D477-TODAY())</f>
        <v/>
      </c>
    </row>
    <row r="478">
      <c r="A478" s="21" t="n"/>
      <c r="B478" s="21" t="n"/>
      <c r="C478" s="21" t="n"/>
      <c r="D478" s="18" t="n"/>
      <c r="E478" s="21" t="n"/>
      <c r="F478" s="21" t="n"/>
      <c r="G478" s="24" t="n"/>
      <c r="H478" s="18" t="n"/>
      <c r="I478" s="21">
        <f>IF(OR(B478="完成",D478=""),"",IF(TODAY()&gt;D478,"逾期",""))</f>
        <v/>
      </c>
      <c r="J478" s="25">
        <f>IF(D478="","",D478-TODAY())</f>
        <v/>
      </c>
    </row>
    <row r="479">
      <c r="A479" s="21" t="n"/>
      <c r="B479" s="21" t="n"/>
      <c r="C479" s="21" t="n"/>
      <c r="D479" s="18" t="n"/>
      <c r="E479" s="21" t="n"/>
      <c r="F479" s="21" t="n"/>
      <c r="G479" s="24" t="n"/>
      <c r="H479" s="18" t="n"/>
      <c r="I479" s="21">
        <f>IF(OR(B479="完成",D479=""),"",IF(TODAY()&gt;D479,"逾期",""))</f>
        <v/>
      </c>
      <c r="J479" s="25">
        <f>IF(D479="","",D479-TODAY())</f>
        <v/>
      </c>
    </row>
    <row r="480">
      <c r="A480" s="21" t="n"/>
      <c r="B480" s="21" t="n"/>
      <c r="C480" s="21" t="n"/>
      <c r="D480" s="18" t="n"/>
      <c r="E480" s="21" t="n"/>
      <c r="F480" s="21" t="n"/>
      <c r="G480" s="24" t="n"/>
      <c r="H480" s="18" t="n"/>
      <c r="I480" s="21">
        <f>IF(OR(B480="完成",D480=""),"",IF(TODAY()&gt;D480,"逾期",""))</f>
        <v/>
      </c>
      <c r="J480" s="25">
        <f>IF(D480="","",D480-TODAY())</f>
        <v/>
      </c>
    </row>
    <row r="481">
      <c r="A481" s="21" t="n"/>
      <c r="B481" s="21" t="n"/>
      <c r="C481" s="21" t="n"/>
      <c r="D481" s="18" t="n"/>
      <c r="E481" s="21" t="n"/>
      <c r="F481" s="21" t="n"/>
      <c r="G481" s="24" t="n"/>
      <c r="H481" s="18" t="n"/>
      <c r="I481" s="21">
        <f>IF(OR(B481="完成",D481=""),"",IF(TODAY()&gt;D481,"逾期",""))</f>
        <v/>
      </c>
      <c r="J481" s="25">
        <f>IF(D481="","",D481-TODAY())</f>
        <v/>
      </c>
    </row>
    <row r="482">
      <c r="A482" s="21" t="n"/>
      <c r="B482" s="21" t="n"/>
      <c r="C482" s="21" t="n"/>
      <c r="D482" s="18" t="n"/>
      <c r="E482" s="21" t="n"/>
      <c r="F482" s="21" t="n"/>
      <c r="G482" s="24" t="n"/>
      <c r="H482" s="18" t="n"/>
      <c r="I482" s="21">
        <f>IF(OR(B482="完成",D482=""),"",IF(TODAY()&gt;D482,"逾期",""))</f>
        <v/>
      </c>
      <c r="J482" s="25">
        <f>IF(D482="","",D482-TODAY())</f>
        <v/>
      </c>
    </row>
    <row r="483">
      <c r="A483" s="21" t="n"/>
      <c r="B483" s="21" t="n"/>
      <c r="C483" s="21" t="n"/>
      <c r="D483" s="18" t="n"/>
      <c r="E483" s="21" t="n"/>
      <c r="F483" s="21" t="n"/>
      <c r="G483" s="24" t="n"/>
      <c r="H483" s="18" t="n"/>
      <c r="I483" s="21">
        <f>IF(OR(B483="完成",D483=""),"",IF(TODAY()&gt;D483,"逾期",""))</f>
        <v/>
      </c>
      <c r="J483" s="25">
        <f>IF(D483="","",D483-TODAY())</f>
        <v/>
      </c>
    </row>
    <row r="484">
      <c r="A484" s="21" t="n"/>
      <c r="B484" s="21" t="n"/>
      <c r="C484" s="21" t="n"/>
      <c r="D484" s="18" t="n"/>
      <c r="E484" s="21" t="n"/>
      <c r="F484" s="21" t="n"/>
      <c r="G484" s="24" t="n"/>
      <c r="H484" s="18" t="n"/>
      <c r="I484" s="21">
        <f>IF(OR(B484="完成",D484=""),"",IF(TODAY()&gt;D484,"逾期",""))</f>
        <v/>
      </c>
      <c r="J484" s="25">
        <f>IF(D484="","",D484-TODAY())</f>
        <v/>
      </c>
    </row>
    <row r="485">
      <c r="A485" s="21" t="n"/>
      <c r="B485" s="21" t="n"/>
      <c r="C485" s="21" t="n"/>
      <c r="D485" s="18" t="n"/>
      <c r="E485" s="21" t="n"/>
      <c r="F485" s="21" t="n"/>
      <c r="G485" s="24" t="n"/>
      <c r="H485" s="18" t="n"/>
      <c r="I485" s="21">
        <f>IF(OR(B485="完成",D485=""),"",IF(TODAY()&gt;D485,"逾期",""))</f>
        <v/>
      </c>
      <c r="J485" s="25">
        <f>IF(D485="","",D485-TODAY())</f>
        <v/>
      </c>
    </row>
    <row r="486">
      <c r="A486" s="21" t="n"/>
      <c r="B486" s="21" t="n"/>
      <c r="C486" s="21" t="n"/>
      <c r="D486" s="18" t="n"/>
      <c r="E486" s="21" t="n"/>
      <c r="F486" s="21" t="n"/>
      <c r="G486" s="24" t="n"/>
      <c r="H486" s="18" t="n"/>
      <c r="I486" s="21">
        <f>IF(OR(B486="完成",D486=""),"",IF(TODAY()&gt;D486,"逾期",""))</f>
        <v/>
      </c>
      <c r="J486" s="25">
        <f>IF(D486="","",D486-TODAY())</f>
        <v/>
      </c>
    </row>
    <row r="487">
      <c r="A487" s="21" t="n"/>
      <c r="B487" s="21" t="n"/>
      <c r="C487" s="21" t="n"/>
      <c r="D487" s="18" t="n"/>
      <c r="E487" s="21" t="n"/>
      <c r="F487" s="21" t="n"/>
      <c r="G487" s="24" t="n"/>
      <c r="H487" s="18" t="n"/>
      <c r="I487" s="21">
        <f>IF(OR(B487="完成",D487=""),"",IF(TODAY()&gt;D487,"逾期",""))</f>
        <v/>
      </c>
      <c r="J487" s="25">
        <f>IF(D487="","",D487-TODAY())</f>
        <v/>
      </c>
    </row>
    <row r="488">
      <c r="A488" s="21" t="n"/>
      <c r="B488" s="21" t="n"/>
      <c r="C488" s="21" t="n"/>
      <c r="D488" s="18" t="n"/>
      <c r="E488" s="21" t="n"/>
      <c r="F488" s="21" t="n"/>
      <c r="G488" s="24" t="n"/>
      <c r="H488" s="18" t="n"/>
      <c r="I488" s="21">
        <f>IF(OR(B488="完成",D488=""),"",IF(TODAY()&gt;D488,"逾期",""))</f>
        <v/>
      </c>
      <c r="J488" s="25">
        <f>IF(D488="","",D488-TODAY())</f>
        <v/>
      </c>
    </row>
    <row r="489">
      <c r="A489" s="21" t="n"/>
      <c r="B489" s="21" t="n"/>
      <c r="C489" s="21" t="n"/>
      <c r="D489" s="18" t="n"/>
      <c r="E489" s="21" t="n"/>
      <c r="F489" s="21" t="n"/>
      <c r="G489" s="24" t="n"/>
      <c r="H489" s="18" t="n"/>
      <c r="I489" s="21">
        <f>IF(OR(B489="完成",D489=""),"",IF(TODAY()&gt;D489,"逾期",""))</f>
        <v/>
      </c>
      <c r="J489" s="25">
        <f>IF(D489="","",D489-TODAY())</f>
        <v/>
      </c>
    </row>
    <row r="490">
      <c r="A490" s="21" t="n"/>
      <c r="B490" s="21" t="n"/>
      <c r="C490" s="21" t="n"/>
      <c r="D490" s="18" t="n"/>
      <c r="E490" s="21" t="n"/>
      <c r="F490" s="21" t="n"/>
      <c r="G490" s="24" t="n"/>
      <c r="H490" s="18" t="n"/>
      <c r="I490" s="21">
        <f>IF(OR(B490="完成",D490=""),"",IF(TODAY()&gt;D490,"逾期",""))</f>
        <v/>
      </c>
      <c r="J490" s="25">
        <f>IF(D490="","",D490-TODAY())</f>
        <v/>
      </c>
    </row>
    <row r="491">
      <c r="A491" s="21" t="n"/>
      <c r="B491" s="21" t="n"/>
      <c r="C491" s="21" t="n"/>
      <c r="D491" s="18" t="n"/>
      <c r="E491" s="21" t="n"/>
      <c r="F491" s="21" t="n"/>
      <c r="G491" s="24" t="n"/>
      <c r="H491" s="18" t="n"/>
      <c r="I491" s="21">
        <f>IF(OR(B491="完成",D491=""),"",IF(TODAY()&gt;D491,"逾期",""))</f>
        <v/>
      </c>
      <c r="J491" s="25">
        <f>IF(D491="","",D491-TODAY())</f>
        <v/>
      </c>
    </row>
    <row r="492">
      <c r="A492" s="21" t="n"/>
      <c r="B492" s="21" t="n"/>
      <c r="C492" s="21" t="n"/>
      <c r="D492" s="18" t="n"/>
      <c r="E492" s="21" t="n"/>
      <c r="F492" s="21" t="n"/>
      <c r="G492" s="24" t="n"/>
      <c r="H492" s="18" t="n"/>
      <c r="I492" s="21">
        <f>IF(OR(B492="完成",D492=""),"",IF(TODAY()&gt;D492,"逾期",""))</f>
        <v/>
      </c>
      <c r="J492" s="25">
        <f>IF(D492="","",D492-TODAY())</f>
        <v/>
      </c>
    </row>
    <row r="493">
      <c r="A493" s="21" t="n"/>
      <c r="B493" s="21" t="n"/>
      <c r="C493" s="21" t="n"/>
      <c r="D493" s="18" t="n"/>
      <c r="E493" s="21" t="n"/>
      <c r="F493" s="21" t="n"/>
      <c r="G493" s="24" t="n"/>
      <c r="H493" s="18" t="n"/>
      <c r="I493" s="21">
        <f>IF(OR(B493="完成",D493=""),"",IF(TODAY()&gt;D493,"逾期",""))</f>
        <v/>
      </c>
      <c r="J493" s="25">
        <f>IF(D493="","",D493-TODAY())</f>
        <v/>
      </c>
    </row>
    <row r="494">
      <c r="A494" s="21" t="n"/>
      <c r="B494" s="21" t="n"/>
      <c r="C494" s="21" t="n"/>
      <c r="D494" s="18" t="n"/>
      <c r="E494" s="21" t="n"/>
      <c r="F494" s="21" t="n"/>
      <c r="G494" s="24" t="n"/>
      <c r="H494" s="18" t="n"/>
      <c r="I494" s="21">
        <f>IF(OR(B494="完成",D494=""),"",IF(TODAY()&gt;D494,"逾期",""))</f>
        <v/>
      </c>
      <c r="J494" s="25">
        <f>IF(D494="","",D494-TODAY())</f>
        <v/>
      </c>
    </row>
    <row r="495">
      <c r="A495" s="21" t="n"/>
      <c r="B495" s="21" t="n"/>
      <c r="C495" s="21" t="n"/>
      <c r="D495" s="18" t="n"/>
      <c r="E495" s="21" t="n"/>
      <c r="F495" s="21" t="n"/>
      <c r="G495" s="24" t="n"/>
      <c r="H495" s="18" t="n"/>
      <c r="I495" s="21">
        <f>IF(OR(B495="完成",D495=""),"",IF(TODAY()&gt;D495,"逾期",""))</f>
        <v/>
      </c>
      <c r="J495" s="25">
        <f>IF(D495="","",D495-TODAY())</f>
        <v/>
      </c>
    </row>
    <row r="496">
      <c r="A496" s="21" t="n"/>
      <c r="B496" s="21" t="n"/>
      <c r="C496" s="21" t="n"/>
      <c r="D496" s="18" t="n"/>
      <c r="E496" s="21" t="n"/>
      <c r="F496" s="21" t="n"/>
      <c r="G496" s="24" t="n"/>
      <c r="H496" s="18" t="n"/>
      <c r="I496" s="21">
        <f>IF(OR(B496="完成",D496=""),"",IF(TODAY()&gt;D496,"逾期",""))</f>
        <v/>
      </c>
      <c r="J496" s="25">
        <f>IF(D496="","",D496-TODAY())</f>
        <v/>
      </c>
    </row>
    <row r="497">
      <c r="A497" s="21" t="n"/>
      <c r="B497" s="21" t="n"/>
      <c r="C497" s="21" t="n"/>
      <c r="D497" s="18" t="n"/>
      <c r="E497" s="21" t="n"/>
      <c r="F497" s="21" t="n"/>
      <c r="G497" s="24" t="n"/>
      <c r="H497" s="18" t="n"/>
      <c r="I497" s="21">
        <f>IF(OR(B497="完成",D497=""),"",IF(TODAY()&gt;D497,"逾期",""))</f>
        <v/>
      </c>
      <c r="J497" s="25">
        <f>IF(D497="","",D497-TODAY())</f>
        <v/>
      </c>
    </row>
    <row r="498">
      <c r="A498" s="21" t="n"/>
      <c r="B498" s="21" t="n"/>
      <c r="C498" s="21" t="n"/>
      <c r="D498" s="18" t="n"/>
      <c r="E498" s="21" t="n"/>
      <c r="F498" s="21" t="n"/>
      <c r="G498" s="24" t="n"/>
      <c r="H498" s="18" t="n"/>
      <c r="I498" s="21">
        <f>IF(OR(B498="完成",D498=""),"",IF(TODAY()&gt;D498,"逾期",""))</f>
        <v/>
      </c>
      <c r="J498" s="25">
        <f>IF(D498="","",D498-TODAY())</f>
        <v/>
      </c>
    </row>
    <row r="499">
      <c r="A499" s="21" t="n"/>
      <c r="B499" s="21" t="n"/>
      <c r="C499" s="21" t="n"/>
      <c r="D499" s="18" t="n"/>
      <c r="E499" s="21" t="n"/>
      <c r="F499" s="21" t="n"/>
      <c r="G499" s="24" t="n"/>
      <c r="H499" s="18" t="n"/>
      <c r="I499" s="21">
        <f>IF(OR(B499="完成",D499=""),"",IF(TODAY()&gt;D499,"逾期",""))</f>
        <v/>
      </c>
      <c r="J499" s="25">
        <f>IF(D499="","",D499-TODAY())</f>
        <v/>
      </c>
    </row>
    <row r="500">
      <c r="A500" s="21" t="n"/>
      <c r="B500" s="21" t="n"/>
      <c r="C500" s="21" t="n"/>
      <c r="D500" s="18" t="n"/>
      <c r="E500" s="21" t="n"/>
      <c r="F500" s="21" t="n"/>
      <c r="G500" s="24" t="n"/>
      <c r="H500" s="18" t="n"/>
      <c r="I500" s="21">
        <f>IF(OR(B500="完成",D500=""),"",IF(TODAY()&gt;D500,"逾期",""))</f>
        <v/>
      </c>
      <c r="J500" s="25">
        <f>IF(D500="","",D500-TODAY())</f>
        <v/>
      </c>
    </row>
    <row r="501">
      <c r="A501" s="21" t="n"/>
      <c r="B501" s="21" t="n"/>
      <c r="C501" s="21" t="n"/>
      <c r="D501" s="18" t="n"/>
      <c r="E501" s="21" t="n"/>
      <c r="F501" s="21" t="n"/>
      <c r="G501" s="24" t="n"/>
      <c r="H501" s="18" t="n"/>
      <c r="I501" s="21">
        <f>IF(OR(B501="完成",D501=""),"",IF(TODAY()&gt;D501,"逾期",""))</f>
        <v/>
      </c>
      <c r="J501" s="25">
        <f>IF(D501="","",D501-TODAY())</f>
        <v/>
      </c>
    </row>
    <row r="502">
      <c r="A502" s="21" t="n"/>
      <c r="B502" s="21" t="n"/>
      <c r="C502" s="21" t="n"/>
      <c r="D502" s="18" t="n"/>
      <c r="E502" s="21" t="n"/>
      <c r="F502" s="21" t="n"/>
      <c r="G502" s="24" t="n"/>
      <c r="H502" s="18" t="n"/>
      <c r="I502" s="21">
        <f>IF(OR(B502="完成",D502=""),"",IF(TODAY()&gt;D502,"逾期",""))</f>
        <v/>
      </c>
      <c r="J502" s="25">
        <f>IF(D502="","",D502-TODAY())</f>
        <v/>
      </c>
    </row>
    <row r="503">
      <c r="A503" s="21" t="n"/>
      <c r="B503" s="21" t="n"/>
      <c r="C503" s="21" t="n"/>
      <c r="D503" s="18" t="n"/>
      <c r="E503" s="21" t="n"/>
      <c r="F503" s="21" t="n"/>
      <c r="G503" s="24" t="n"/>
      <c r="H503" s="18" t="n"/>
      <c r="I503" s="21">
        <f>IF(OR(B503="完成",D503=""),"",IF(TODAY()&gt;D503,"逾期",""))</f>
        <v/>
      </c>
      <c r="J503" s="25">
        <f>IF(D503="","",D503-TODAY())</f>
        <v/>
      </c>
    </row>
    <row r="504">
      <c r="A504" s="21" t="n"/>
      <c r="B504" s="21" t="n"/>
      <c r="C504" s="21" t="n"/>
      <c r="D504" s="18" t="n"/>
      <c r="E504" s="21" t="n"/>
      <c r="F504" s="21" t="n"/>
      <c r="G504" s="24" t="n"/>
      <c r="H504" s="18" t="n"/>
      <c r="I504" s="21">
        <f>IF(OR(B504="完成",D504=""),"",IF(TODAY()&gt;D504,"逾期",""))</f>
        <v/>
      </c>
      <c r="J504" s="25">
        <f>IF(D504="","",D504-TODAY())</f>
        <v/>
      </c>
    </row>
    <row r="505">
      <c r="A505" s="21" t="n"/>
      <c r="B505" s="21" t="n"/>
      <c r="C505" s="21" t="n"/>
      <c r="D505" s="18" t="n"/>
      <c r="E505" s="21" t="n"/>
      <c r="F505" s="21" t="n"/>
      <c r="G505" s="24" t="n"/>
      <c r="H505" s="18" t="n"/>
      <c r="I505" s="21">
        <f>IF(OR(B505="完成",D505=""),"",IF(TODAY()&gt;D505,"逾期",""))</f>
        <v/>
      </c>
      <c r="J505" s="25">
        <f>IF(D505="","",D505-TODAY())</f>
        <v/>
      </c>
    </row>
  </sheetData>
  <mergeCells count="1">
    <mergeCell ref="A1:J1"/>
  </mergeCells>
  <conditionalFormatting sqref="A6:J505">
    <cfRule type="expression" priority="1" dxfId="1">
      <formula>$I6="逾期"</formula>
    </cfRule>
    <cfRule type="expression" priority="2" dxfId="2">
      <formula>$B6="完成"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12" customWidth="1" min="4" max="4"/>
    <col width="14" customWidth="1" min="5" max="5"/>
    <col width="10" customWidth="1" min="6" max="6"/>
    <col width="10" customWidth="1" min="7" max="7"/>
    <col width="26" customWidth="1" min="8" max="8"/>
  </cols>
  <sheetData>
    <row r="1" ht="28" customHeight="1">
      <c r="A1" s="1" t="inlineStr">
        <is>
          <t>核對清單</t>
        </is>
      </c>
    </row>
    <row r="2">
      <c r="A2" s="5" t="inlineStr">
        <is>
          <t>逾期項目數</t>
        </is>
      </c>
      <c r="B2" s="16">
        <f>COUNTIF($F$6:$F$505,"逾期")</f>
        <v/>
      </c>
    </row>
    <row r="5" ht="22" customHeight="1">
      <c r="A5" s="8" t="inlineStr">
        <is>
          <t>類別</t>
        </is>
      </c>
      <c r="B5" s="8" t="inlineStr">
        <is>
          <t>項目</t>
        </is>
      </c>
      <c r="C5" s="8" t="inlineStr">
        <is>
          <t>頻率</t>
        </is>
      </c>
      <c r="D5" s="8" t="inlineStr">
        <is>
          <t>上次完成日</t>
        </is>
      </c>
      <c r="E5" s="8" t="inlineStr">
        <is>
          <t>下次到期(自動)</t>
        </is>
      </c>
      <c r="F5" s="8" t="inlineStr">
        <is>
          <t>狀態(自動)</t>
        </is>
      </c>
      <c r="G5" s="8" t="inlineStr">
        <is>
          <t>完成?</t>
        </is>
      </c>
      <c r="H5" s="8" t="inlineStr">
        <is>
          <t>備註</t>
        </is>
      </c>
    </row>
    <row r="6">
      <c r="A6" s="21" t="n"/>
      <c r="B6" s="21" t="n"/>
      <c r="C6" s="21" t="n"/>
      <c r="D6" s="18" t="n"/>
      <c r="E6" s="18">
        <f>IF(D6="","",IF(C6="每日",D6+1,IF(C6="每週",D6+7,IF(C6="每月",EDATE(D6,1),IF(C6="每季",EDATE(D6,3),IF(C6="每年",EDATE(D6,12),""))))))</f>
        <v/>
      </c>
      <c r="F6" s="21">
        <f>IF(E6="","",IF(E6&lt;TODAY(),"逾期","正常"))</f>
        <v/>
      </c>
      <c r="G6" s="21" t="n"/>
      <c r="H6" s="21" t="n"/>
    </row>
    <row r="7">
      <c r="A7" s="21" t="n"/>
      <c r="B7" s="21" t="n"/>
      <c r="C7" s="21" t="n"/>
      <c r="D7" s="18" t="n"/>
      <c r="E7" s="18">
        <f>IF(D7="","",IF(C7="每日",D7+1,IF(C7="每週",D7+7,IF(C7="每月",EDATE(D7,1),IF(C7="每季",EDATE(D7,3),IF(C7="每年",EDATE(D7,12),""))))))</f>
        <v/>
      </c>
      <c r="F7" s="21">
        <f>IF(E7="","",IF(E7&lt;TODAY(),"逾期","正常"))</f>
        <v/>
      </c>
      <c r="G7" s="21" t="n"/>
      <c r="H7" s="21" t="n"/>
    </row>
    <row r="8">
      <c r="A8" s="21" t="n"/>
      <c r="B8" s="21" t="n"/>
      <c r="C8" s="21" t="n"/>
      <c r="D8" s="18" t="n"/>
      <c r="E8" s="18">
        <f>IF(D8="","",IF(C8="每日",D8+1,IF(C8="每週",D8+7,IF(C8="每月",EDATE(D8,1),IF(C8="每季",EDATE(D8,3),IF(C8="每年",EDATE(D8,12),""))))))</f>
        <v/>
      </c>
      <c r="F8" s="21">
        <f>IF(E8="","",IF(E8&lt;TODAY(),"逾期","正常"))</f>
        <v/>
      </c>
      <c r="G8" s="21" t="n"/>
      <c r="H8" s="21" t="n"/>
    </row>
    <row r="9">
      <c r="A9" s="21" t="n"/>
      <c r="B9" s="21" t="n"/>
      <c r="C9" s="21" t="n"/>
      <c r="D9" s="18" t="n"/>
      <c r="E9" s="18">
        <f>IF(D9="","",IF(C9="每日",D9+1,IF(C9="每週",D9+7,IF(C9="每月",EDATE(D9,1),IF(C9="每季",EDATE(D9,3),IF(C9="每年",EDATE(D9,12),""))))))</f>
        <v/>
      </c>
      <c r="F9" s="21">
        <f>IF(E9="","",IF(E9&lt;TODAY(),"逾期","正常"))</f>
        <v/>
      </c>
      <c r="G9" s="21" t="n"/>
      <c r="H9" s="21" t="n"/>
    </row>
    <row r="10">
      <c r="A10" s="21" t="n"/>
      <c r="B10" s="21" t="n"/>
      <c r="C10" s="21" t="n"/>
      <c r="D10" s="18" t="n"/>
      <c r="E10" s="18">
        <f>IF(D10="","",IF(C10="每日",D10+1,IF(C10="每週",D10+7,IF(C10="每月",EDATE(D10,1),IF(C10="每季",EDATE(D10,3),IF(C10="每年",EDATE(D10,12),""))))))</f>
        <v/>
      </c>
      <c r="F10" s="21">
        <f>IF(E10="","",IF(E10&lt;TODAY(),"逾期","正常"))</f>
        <v/>
      </c>
      <c r="G10" s="21" t="n"/>
      <c r="H10" s="21" t="n"/>
    </row>
    <row r="11">
      <c r="A11" s="21" t="n"/>
      <c r="B11" s="21" t="n"/>
      <c r="C11" s="21" t="n"/>
      <c r="D11" s="18" t="n"/>
      <c r="E11" s="18">
        <f>IF(D11="","",IF(C11="每日",D11+1,IF(C11="每週",D11+7,IF(C11="每月",EDATE(D11,1),IF(C11="每季",EDATE(D11,3),IF(C11="每年",EDATE(D11,12),""))))))</f>
        <v/>
      </c>
      <c r="F11" s="21">
        <f>IF(E11="","",IF(E11&lt;TODAY(),"逾期","正常"))</f>
        <v/>
      </c>
      <c r="G11" s="21" t="n"/>
      <c r="H11" s="21" t="n"/>
    </row>
    <row r="12">
      <c r="A12" s="21" t="n"/>
      <c r="B12" s="21" t="n"/>
      <c r="C12" s="21" t="n"/>
      <c r="D12" s="18" t="n"/>
      <c r="E12" s="18">
        <f>IF(D12="","",IF(C12="每日",D12+1,IF(C12="每週",D12+7,IF(C12="每月",EDATE(D12,1),IF(C12="每季",EDATE(D12,3),IF(C12="每年",EDATE(D12,12),""))))))</f>
        <v/>
      </c>
      <c r="F12" s="21">
        <f>IF(E12="","",IF(E12&lt;TODAY(),"逾期","正常"))</f>
        <v/>
      </c>
      <c r="G12" s="21" t="n"/>
      <c r="H12" s="21" t="n"/>
    </row>
    <row r="13">
      <c r="A13" s="21" t="n"/>
      <c r="B13" s="21" t="n"/>
      <c r="C13" s="21" t="n"/>
      <c r="D13" s="18" t="n"/>
      <c r="E13" s="18">
        <f>IF(D13="","",IF(C13="每日",D13+1,IF(C13="每週",D13+7,IF(C13="每月",EDATE(D13,1),IF(C13="每季",EDATE(D13,3),IF(C13="每年",EDATE(D13,12),""))))))</f>
        <v/>
      </c>
      <c r="F13" s="21">
        <f>IF(E13="","",IF(E13&lt;TODAY(),"逾期","正常"))</f>
        <v/>
      </c>
      <c r="G13" s="21" t="n"/>
      <c r="H13" s="21" t="n"/>
    </row>
    <row r="14">
      <c r="A14" s="21" t="n"/>
      <c r="B14" s="21" t="n"/>
      <c r="C14" s="21" t="n"/>
      <c r="D14" s="18" t="n"/>
      <c r="E14" s="18">
        <f>IF(D14="","",IF(C14="每日",D14+1,IF(C14="每週",D14+7,IF(C14="每月",EDATE(D14,1),IF(C14="每季",EDATE(D14,3),IF(C14="每年",EDATE(D14,12),""))))))</f>
        <v/>
      </c>
      <c r="F14" s="21">
        <f>IF(E14="","",IF(E14&lt;TODAY(),"逾期","正常"))</f>
        <v/>
      </c>
      <c r="G14" s="21" t="n"/>
      <c r="H14" s="21" t="n"/>
    </row>
    <row r="15">
      <c r="A15" s="21" t="n"/>
      <c r="B15" s="21" t="n"/>
      <c r="C15" s="21" t="n"/>
      <c r="D15" s="18" t="n"/>
      <c r="E15" s="18">
        <f>IF(D15="","",IF(C15="每日",D15+1,IF(C15="每週",D15+7,IF(C15="每月",EDATE(D15,1),IF(C15="每季",EDATE(D15,3),IF(C15="每年",EDATE(D15,12),""))))))</f>
        <v/>
      </c>
      <c r="F15" s="21">
        <f>IF(E15="","",IF(E15&lt;TODAY(),"逾期","正常"))</f>
        <v/>
      </c>
      <c r="G15" s="21" t="n"/>
      <c r="H15" s="21" t="n"/>
    </row>
    <row r="16">
      <c r="A16" s="21" t="n"/>
      <c r="B16" s="21" t="n"/>
      <c r="C16" s="21" t="n"/>
      <c r="D16" s="18" t="n"/>
      <c r="E16" s="18">
        <f>IF(D16="","",IF(C16="每日",D16+1,IF(C16="每週",D16+7,IF(C16="每月",EDATE(D16,1),IF(C16="每季",EDATE(D16,3),IF(C16="每年",EDATE(D16,12),""))))))</f>
        <v/>
      </c>
      <c r="F16" s="21">
        <f>IF(E16="","",IF(E16&lt;TODAY(),"逾期","正常"))</f>
        <v/>
      </c>
      <c r="G16" s="21" t="n"/>
      <c r="H16" s="21" t="n"/>
    </row>
    <row r="17">
      <c r="A17" s="21" t="n"/>
      <c r="B17" s="21" t="n"/>
      <c r="C17" s="21" t="n"/>
      <c r="D17" s="18" t="n"/>
      <c r="E17" s="18">
        <f>IF(D17="","",IF(C17="每日",D17+1,IF(C17="每週",D17+7,IF(C17="每月",EDATE(D17,1),IF(C17="每季",EDATE(D17,3),IF(C17="每年",EDATE(D17,12),""))))))</f>
        <v/>
      </c>
      <c r="F17" s="21">
        <f>IF(E17="","",IF(E17&lt;TODAY(),"逾期","正常"))</f>
        <v/>
      </c>
      <c r="G17" s="21" t="n"/>
      <c r="H17" s="21" t="n"/>
    </row>
    <row r="18">
      <c r="A18" s="21" t="n"/>
      <c r="B18" s="21" t="n"/>
      <c r="C18" s="21" t="n"/>
      <c r="D18" s="18" t="n"/>
      <c r="E18" s="18">
        <f>IF(D18="","",IF(C18="每日",D18+1,IF(C18="每週",D18+7,IF(C18="每月",EDATE(D18,1),IF(C18="每季",EDATE(D18,3),IF(C18="每年",EDATE(D18,12),""))))))</f>
        <v/>
      </c>
      <c r="F18" s="21">
        <f>IF(E18="","",IF(E18&lt;TODAY(),"逾期","正常"))</f>
        <v/>
      </c>
      <c r="G18" s="21" t="n"/>
      <c r="H18" s="21" t="n"/>
    </row>
    <row r="19">
      <c r="A19" s="21" t="n"/>
      <c r="B19" s="21" t="n"/>
      <c r="C19" s="21" t="n"/>
      <c r="D19" s="18" t="n"/>
      <c r="E19" s="18">
        <f>IF(D19="","",IF(C19="每日",D19+1,IF(C19="每週",D19+7,IF(C19="每月",EDATE(D19,1),IF(C19="每季",EDATE(D19,3),IF(C19="每年",EDATE(D19,12),""))))))</f>
        <v/>
      </c>
      <c r="F19" s="21">
        <f>IF(E19="","",IF(E19&lt;TODAY(),"逾期","正常"))</f>
        <v/>
      </c>
      <c r="G19" s="21" t="n"/>
      <c r="H19" s="21" t="n"/>
    </row>
    <row r="20">
      <c r="A20" s="21" t="n"/>
      <c r="B20" s="21" t="n"/>
      <c r="C20" s="21" t="n"/>
      <c r="D20" s="18" t="n"/>
      <c r="E20" s="18">
        <f>IF(D20="","",IF(C20="每日",D20+1,IF(C20="每週",D20+7,IF(C20="每月",EDATE(D20,1),IF(C20="每季",EDATE(D20,3),IF(C20="每年",EDATE(D20,12),""))))))</f>
        <v/>
      </c>
      <c r="F20" s="21">
        <f>IF(E20="","",IF(E20&lt;TODAY(),"逾期","正常"))</f>
        <v/>
      </c>
      <c r="G20" s="21" t="n"/>
      <c r="H20" s="21" t="n"/>
    </row>
    <row r="21">
      <c r="A21" s="21" t="n"/>
      <c r="B21" s="21" t="n"/>
      <c r="C21" s="21" t="n"/>
      <c r="D21" s="18" t="n"/>
      <c r="E21" s="18">
        <f>IF(D21="","",IF(C21="每日",D21+1,IF(C21="每週",D21+7,IF(C21="每月",EDATE(D21,1),IF(C21="每季",EDATE(D21,3),IF(C21="每年",EDATE(D21,12),""))))))</f>
        <v/>
      </c>
      <c r="F21" s="21">
        <f>IF(E21="","",IF(E21&lt;TODAY(),"逾期","正常"))</f>
        <v/>
      </c>
      <c r="G21" s="21" t="n"/>
      <c r="H21" s="21" t="n"/>
    </row>
    <row r="22">
      <c r="A22" s="21" t="n"/>
      <c r="B22" s="21" t="n"/>
      <c r="C22" s="21" t="n"/>
      <c r="D22" s="18" t="n"/>
      <c r="E22" s="18">
        <f>IF(D22="","",IF(C22="每日",D22+1,IF(C22="每週",D22+7,IF(C22="每月",EDATE(D22,1),IF(C22="每季",EDATE(D22,3),IF(C22="每年",EDATE(D22,12),""))))))</f>
        <v/>
      </c>
      <c r="F22" s="21">
        <f>IF(E22="","",IF(E22&lt;TODAY(),"逾期","正常"))</f>
        <v/>
      </c>
      <c r="G22" s="21" t="n"/>
      <c r="H22" s="21" t="n"/>
    </row>
    <row r="23">
      <c r="A23" s="21" t="n"/>
      <c r="B23" s="21" t="n"/>
      <c r="C23" s="21" t="n"/>
      <c r="D23" s="18" t="n"/>
      <c r="E23" s="18">
        <f>IF(D23="","",IF(C23="每日",D23+1,IF(C23="每週",D23+7,IF(C23="每月",EDATE(D23,1),IF(C23="每季",EDATE(D23,3),IF(C23="每年",EDATE(D23,12),""))))))</f>
        <v/>
      </c>
      <c r="F23" s="21">
        <f>IF(E23="","",IF(E23&lt;TODAY(),"逾期","正常"))</f>
        <v/>
      </c>
      <c r="G23" s="21" t="n"/>
      <c r="H23" s="21" t="n"/>
    </row>
    <row r="24">
      <c r="A24" s="21" t="n"/>
      <c r="B24" s="21" t="n"/>
      <c r="C24" s="21" t="n"/>
      <c r="D24" s="18" t="n"/>
      <c r="E24" s="18">
        <f>IF(D24="","",IF(C24="每日",D24+1,IF(C24="每週",D24+7,IF(C24="每月",EDATE(D24,1),IF(C24="每季",EDATE(D24,3),IF(C24="每年",EDATE(D24,12),""))))))</f>
        <v/>
      </c>
      <c r="F24" s="21">
        <f>IF(E24="","",IF(E24&lt;TODAY(),"逾期","正常"))</f>
        <v/>
      </c>
      <c r="G24" s="21" t="n"/>
      <c r="H24" s="21" t="n"/>
    </row>
    <row r="25">
      <c r="A25" s="21" t="n"/>
      <c r="B25" s="21" t="n"/>
      <c r="C25" s="21" t="n"/>
      <c r="D25" s="18" t="n"/>
      <c r="E25" s="18">
        <f>IF(D25="","",IF(C25="每日",D25+1,IF(C25="每週",D25+7,IF(C25="每月",EDATE(D25,1),IF(C25="每季",EDATE(D25,3),IF(C25="每年",EDATE(D25,12),""))))))</f>
        <v/>
      </c>
      <c r="F25" s="21">
        <f>IF(E25="","",IF(E25&lt;TODAY(),"逾期","正常"))</f>
        <v/>
      </c>
      <c r="G25" s="21" t="n"/>
      <c r="H25" s="21" t="n"/>
    </row>
    <row r="26">
      <c r="A26" s="21" t="n"/>
      <c r="B26" s="21" t="n"/>
      <c r="C26" s="21" t="n"/>
      <c r="D26" s="18" t="n"/>
      <c r="E26" s="18">
        <f>IF(D26="","",IF(C26="每日",D26+1,IF(C26="每週",D26+7,IF(C26="每月",EDATE(D26,1),IF(C26="每季",EDATE(D26,3),IF(C26="每年",EDATE(D26,12),""))))))</f>
        <v/>
      </c>
      <c r="F26" s="21">
        <f>IF(E26="","",IF(E26&lt;TODAY(),"逾期","正常"))</f>
        <v/>
      </c>
      <c r="G26" s="21" t="n"/>
      <c r="H26" s="21" t="n"/>
    </row>
    <row r="27">
      <c r="A27" s="21" t="n"/>
      <c r="B27" s="21" t="n"/>
      <c r="C27" s="21" t="n"/>
      <c r="D27" s="18" t="n"/>
      <c r="E27" s="18">
        <f>IF(D27="","",IF(C27="每日",D27+1,IF(C27="每週",D27+7,IF(C27="每月",EDATE(D27,1),IF(C27="每季",EDATE(D27,3),IF(C27="每年",EDATE(D27,12),""))))))</f>
        <v/>
      </c>
      <c r="F27" s="21">
        <f>IF(E27="","",IF(E27&lt;TODAY(),"逾期","正常"))</f>
        <v/>
      </c>
      <c r="G27" s="21" t="n"/>
      <c r="H27" s="21" t="n"/>
    </row>
    <row r="28">
      <c r="A28" s="21" t="n"/>
      <c r="B28" s="21" t="n"/>
      <c r="C28" s="21" t="n"/>
      <c r="D28" s="18" t="n"/>
      <c r="E28" s="18">
        <f>IF(D28="","",IF(C28="每日",D28+1,IF(C28="每週",D28+7,IF(C28="每月",EDATE(D28,1),IF(C28="每季",EDATE(D28,3),IF(C28="每年",EDATE(D28,12),""))))))</f>
        <v/>
      </c>
      <c r="F28" s="21">
        <f>IF(E28="","",IF(E28&lt;TODAY(),"逾期","正常"))</f>
        <v/>
      </c>
      <c r="G28" s="21" t="n"/>
      <c r="H28" s="21" t="n"/>
    </row>
    <row r="29">
      <c r="A29" s="21" t="n"/>
      <c r="B29" s="21" t="n"/>
      <c r="C29" s="21" t="n"/>
      <c r="D29" s="18" t="n"/>
      <c r="E29" s="18">
        <f>IF(D29="","",IF(C29="每日",D29+1,IF(C29="每週",D29+7,IF(C29="每月",EDATE(D29,1),IF(C29="每季",EDATE(D29,3),IF(C29="每年",EDATE(D29,12),""))))))</f>
        <v/>
      </c>
      <c r="F29" s="21">
        <f>IF(E29="","",IF(E29&lt;TODAY(),"逾期","正常"))</f>
        <v/>
      </c>
      <c r="G29" s="21" t="n"/>
      <c r="H29" s="21" t="n"/>
    </row>
    <row r="30">
      <c r="A30" s="21" t="n"/>
      <c r="B30" s="21" t="n"/>
      <c r="C30" s="21" t="n"/>
      <c r="D30" s="18" t="n"/>
      <c r="E30" s="18">
        <f>IF(D30="","",IF(C30="每日",D30+1,IF(C30="每週",D30+7,IF(C30="每月",EDATE(D30,1),IF(C30="每季",EDATE(D30,3),IF(C30="每年",EDATE(D30,12),""))))))</f>
        <v/>
      </c>
      <c r="F30" s="21">
        <f>IF(E30="","",IF(E30&lt;TODAY(),"逾期","正常"))</f>
        <v/>
      </c>
      <c r="G30" s="21" t="n"/>
      <c r="H30" s="21" t="n"/>
    </row>
    <row r="31">
      <c r="A31" s="21" t="n"/>
      <c r="B31" s="21" t="n"/>
      <c r="C31" s="21" t="n"/>
      <c r="D31" s="18" t="n"/>
      <c r="E31" s="18">
        <f>IF(D31="","",IF(C31="每日",D31+1,IF(C31="每週",D31+7,IF(C31="每月",EDATE(D31,1),IF(C31="每季",EDATE(D31,3),IF(C31="每年",EDATE(D31,12),""))))))</f>
        <v/>
      </c>
      <c r="F31" s="21">
        <f>IF(E31="","",IF(E31&lt;TODAY(),"逾期","正常"))</f>
        <v/>
      </c>
      <c r="G31" s="21" t="n"/>
      <c r="H31" s="21" t="n"/>
    </row>
    <row r="32">
      <c r="A32" s="21" t="n"/>
      <c r="B32" s="21" t="n"/>
      <c r="C32" s="21" t="n"/>
      <c r="D32" s="18" t="n"/>
      <c r="E32" s="18">
        <f>IF(D32="","",IF(C32="每日",D32+1,IF(C32="每週",D32+7,IF(C32="每月",EDATE(D32,1),IF(C32="每季",EDATE(D32,3),IF(C32="每年",EDATE(D32,12),""))))))</f>
        <v/>
      </c>
      <c r="F32" s="21">
        <f>IF(E32="","",IF(E32&lt;TODAY(),"逾期","正常"))</f>
        <v/>
      </c>
      <c r="G32" s="21" t="n"/>
      <c r="H32" s="21" t="n"/>
    </row>
    <row r="33">
      <c r="A33" s="21" t="n"/>
      <c r="B33" s="21" t="n"/>
      <c r="C33" s="21" t="n"/>
      <c r="D33" s="18" t="n"/>
      <c r="E33" s="18">
        <f>IF(D33="","",IF(C33="每日",D33+1,IF(C33="每週",D33+7,IF(C33="每月",EDATE(D33,1),IF(C33="每季",EDATE(D33,3),IF(C33="每年",EDATE(D33,12),""))))))</f>
        <v/>
      </c>
      <c r="F33" s="21">
        <f>IF(E33="","",IF(E33&lt;TODAY(),"逾期","正常"))</f>
        <v/>
      </c>
      <c r="G33" s="21" t="n"/>
      <c r="H33" s="21" t="n"/>
    </row>
    <row r="34">
      <c r="A34" s="21" t="n"/>
      <c r="B34" s="21" t="n"/>
      <c r="C34" s="21" t="n"/>
      <c r="D34" s="18" t="n"/>
      <c r="E34" s="18">
        <f>IF(D34="","",IF(C34="每日",D34+1,IF(C34="每週",D34+7,IF(C34="每月",EDATE(D34,1),IF(C34="每季",EDATE(D34,3),IF(C34="每年",EDATE(D34,12),""))))))</f>
        <v/>
      </c>
      <c r="F34" s="21">
        <f>IF(E34="","",IF(E34&lt;TODAY(),"逾期","正常"))</f>
        <v/>
      </c>
      <c r="G34" s="21" t="n"/>
      <c r="H34" s="21" t="n"/>
    </row>
    <row r="35">
      <c r="A35" s="21" t="n"/>
      <c r="B35" s="21" t="n"/>
      <c r="C35" s="21" t="n"/>
      <c r="D35" s="18" t="n"/>
      <c r="E35" s="18">
        <f>IF(D35="","",IF(C35="每日",D35+1,IF(C35="每週",D35+7,IF(C35="每月",EDATE(D35,1),IF(C35="每季",EDATE(D35,3),IF(C35="每年",EDATE(D35,12),""))))))</f>
        <v/>
      </c>
      <c r="F35" s="21">
        <f>IF(E35="","",IF(E35&lt;TODAY(),"逾期","正常"))</f>
        <v/>
      </c>
      <c r="G35" s="21" t="n"/>
      <c r="H35" s="21" t="n"/>
    </row>
    <row r="36">
      <c r="A36" s="21" t="n"/>
      <c r="B36" s="21" t="n"/>
      <c r="C36" s="21" t="n"/>
      <c r="D36" s="18" t="n"/>
      <c r="E36" s="18">
        <f>IF(D36="","",IF(C36="每日",D36+1,IF(C36="每週",D36+7,IF(C36="每月",EDATE(D36,1),IF(C36="每季",EDATE(D36,3),IF(C36="每年",EDATE(D36,12),""))))))</f>
        <v/>
      </c>
      <c r="F36" s="21">
        <f>IF(E36="","",IF(E36&lt;TODAY(),"逾期","正常"))</f>
        <v/>
      </c>
      <c r="G36" s="21" t="n"/>
      <c r="H36" s="21" t="n"/>
    </row>
    <row r="37">
      <c r="A37" s="21" t="n"/>
      <c r="B37" s="21" t="n"/>
      <c r="C37" s="21" t="n"/>
      <c r="D37" s="18" t="n"/>
      <c r="E37" s="18">
        <f>IF(D37="","",IF(C37="每日",D37+1,IF(C37="每週",D37+7,IF(C37="每月",EDATE(D37,1),IF(C37="每季",EDATE(D37,3),IF(C37="每年",EDATE(D37,12),""))))))</f>
        <v/>
      </c>
      <c r="F37" s="21">
        <f>IF(E37="","",IF(E37&lt;TODAY(),"逾期","正常"))</f>
        <v/>
      </c>
      <c r="G37" s="21" t="n"/>
      <c r="H37" s="21" t="n"/>
    </row>
    <row r="38">
      <c r="A38" s="21" t="n"/>
      <c r="B38" s="21" t="n"/>
      <c r="C38" s="21" t="n"/>
      <c r="D38" s="18" t="n"/>
      <c r="E38" s="18">
        <f>IF(D38="","",IF(C38="每日",D38+1,IF(C38="每週",D38+7,IF(C38="每月",EDATE(D38,1),IF(C38="每季",EDATE(D38,3),IF(C38="每年",EDATE(D38,12),""))))))</f>
        <v/>
      </c>
      <c r="F38" s="21">
        <f>IF(E38="","",IF(E38&lt;TODAY(),"逾期","正常"))</f>
        <v/>
      </c>
      <c r="G38" s="21" t="n"/>
      <c r="H38" s="21" t="n"/>
    </row>
    <row r="39">
      <c r="A39" s="21" t="n"/>
      <c r="B39" s="21" t="n"/>
      <c r="C39" s="21" t="n"/>
      <c r="D39" s="18" t="n"/>
      <c r="E39" s="18">
        <f>IF(D39="","",IF(C39="每日",D39+1,IF(C39="每週",D39+7,IF(C39="每月",EDATE(D39,1),IF(C39="每季",EDATE(D39,3),IF(C39="每年",EDATE(D39,12),""))))))</f>
        <v/>
      </c>
      <c r="F39" s="21">
        <f>IF(E39="","",IF(E39&lt;TODAY(),"逾期","正常"))</f>
        <v/>
      </c>
      <c r="G39" s="21" t="n"/>
      <c r="H39" s="21" t="n"/>
    </row>
    <row r="40">
      <c r="A40" s="21" t="n"/>
      <c r="B40" s="21" t="n"/>
      <c r="C40" s="21" t="n"/>
      <c r="D40" s="18" t="n"/>
      <c r="E40" s="18">
        <f>IF(D40="","",IF(C40="每日",D40+1,IF(C40="每週",D40+7,IF(C40="每月",EDATE(D40,1),IF(C40="每季",EDATE(D40,3),IF(C40="每年",EDATE(D40,12),""))))))</f>
        <v/>
      </c>
      <c r="F40" s="21">
        <f>IF(E40="","",IF(E40&lt;TODAY(),"逾期","正常"))</f>
        <v/>
      </c>
      <c r="G40" s="21" t="n"/>
      <c r="H40" s="21" t="n"/>
    </row>
    <row r="41">
      <c r="A41" s="21" t="n"/>
      <c r="B41" s="21" t="n"/>
      <c r="C41" s="21" t="n"/>
      <c r="D41" s="18" t="n"/>
      <c r="E41" s="18">
        <f>IF(D41="","",IF(C41="每日",D41+1,IF(C41="每週",D41+7,IF(C41="每月",EDATE(D41,1),IF(C41="每季",EDATE(D41,3),IF(C41="每年",EDATE(D41,12),""))))))</f>
        <v/>
      </c>
      <c r="F41" s="21">
        <f>IF(E41="","",IF(E41&lt;TODAY(),"逾期","正常"))</f>
        <v/>
      </c>
      <c r="G41" s="21" t="n"/>
      <c r="H41" s="21" t="n"/>
    </row>
    <row r="42">
      <c r="A42" s="21" t="n"/>
      <c r="B42" s="21" t="n"/>
      <c r="C42" s="21" t="n"/>
      <c r="D42" s="18" t="n"/>
      <c r="E42" s="18">
        <f>IF(D42="","",IF(C42="每日",D42+1,IF(C42="每週",D42+7,IF(C42="每月",EDATE(D42,1),IF(C42="每季",EDATE(D42,3),IF(C42="每年",EDATE(D42,12),""))))))</f>
        <v/>
      </c>
      <c r="F42" s="21">
        <f>IF(E42="","",IF(E42&lt;TODAY(),"逾期","正常"))</f>
        <v/>
      </c>
      <c r="G42" s="21" t="n"/>
      <c r="H42" s="21" t="n"/>
    </row>
    <row r="43">
      <c r="A43" s="21" t="n"/>
      <c r="B43" s="21" t="n"/>
      <c r="C43" s="21" t="n"/>
      <c r="D43" s="18" t="n"/>
      <c r="E43" s="18">
        <f>IF(D43="","",IF(C43="每日",D43+1,IF(C43="每週",D43+7,IF(C43="每月",EDATE(D43,1),IF(C43="每季",EDATE(D43,3),IF(C43="每年",EDATE(D43,12),""))))))</f>
        <v/>
      </c>
      <c r="F43" s="21">
        <f>IF(E43="","",IF(E43&lt;TODAY(),"逾期","正常"))</f>
        <v/>
      </c>
      <c r="G43" s="21" t="n"/>
      <c r="H43" s="21" t="n"/>
    </row>
    <row r="44">
      <c r="A44" s="21" t="n"/>
      <c r="B44" s="21" t="n"/>
      <c r="C44" s="21" t="n"/>
      <c r="D44" s="18" t="n"/>
      <c r="E44" s="18">
        <f>IF(D44="","",IF(C44="每日",D44+1,IF(C44="每週",D44+7,IF(C44="每月",EDATE(D44,1),IF(C44="每季",EDATE(D44,3),IF(C44="每年",EDATE(D44,12),""))))))</f>
        <v/>
      </c>
      <c r="F44" s="21">
        <f>IF(E44="","",IF(E44&lt;TODAY(),"逾期","正常"))</f>
        <v/>
      </c>
      <c r="G44" s="21" t="n"/>
      <c r="H44" s="21" t="n"/>
    </row>
    <row r="45">
      <c r="A45" s="21" t="n"/>
      <c r="B45" s="21" t="n"/>
      <c r="C45" s="21" t="n"/>
      <c r="D45" s="18" t="n"/>
      <c r="E45" s="18">
        <f>IF(D45="","",IF(C45="每日",D45+1,IF(C45="每週",D45+7,IF(C45="每月",EDATE(D45,1),IF(C45="每季",EDATE(D45,3),IF(C45="每年",EDATE(D45,12),""))))))</f>
        <v/>
      </c>
      <c r="F45" s="21">
        <f>IF(E45="","",IF(E45&lt;TODAY(),"逾期","正常"))</f>
        <v/>
      </c>
      <c r="G45" s="21" t="n"/>
      <c r="H45" s="21" t="n"/>
    </row>
    <row r="46">
      <c r="A46" s="21" t="n"/>
      <c r="B46" s="21" t="n"/>
      <c r="C46" s="21" t="n"/>
      <c r="D46" s="18" t="n"/>
      <c r="E46" s="18">
        <f>IF(D46="","",IF(C46="每日",D46+1,IF(C46="每週",D46+7,IF(C46="每月",EDATE(D46,1),IF(C46="每季",EDATE(D46,3),IF(C46="每年",EDATE(D46,12),""))))))</f>
        <v/>
      </c>
      <c r="F46" s="21">
        <f>IF(E46="","",IF(E46&lt;TODAY(),"逾期","正常"))</f>
        <v/>
      </c>
      <c r="G46" s="21" t="n"/>
      <c r="H46" s="21" t="n"/>
    </row>
    <row r="47">
      <c r="A47" s="21" t="n"/>
      <c r="B47" s="21" t="n"/>
      <c r="C47" s="21" t="n"/>
      <c r="D47" s="18" t="n"/>
      <c r="E47" s="18">
        <f>IF(D47="","",IF(C47="每日",D47+1,IF(C47="每週",D47+7,IF(C47="每月",EDATE(D47,1),IF(C47="每季",EDATE(D47,3),IF(C47="每年",EDATE(D47,12),""))))))</f>
        <v/>
      </c>
      <c r="F47" s="21">
        <f>IF(E47="","",IF(E47&lt;TODAY(),"逾期","正常"))</f>
        <v/>
      </c>
      <c r="G47" s="21" t="n"/>
      <c r="H47" s="21" t="n"/>
    </row>
    <row r="48">
      <c r="A48" s="21" t="n"/>
      <c r="B48" s="21" t="n"/>
      <c r="C48" s="21" t="n"/>
      <c r="D48" s="18" t="n"/>
      <c r="E48" s="18">
        <f>IF(D48="","",IF(C48="每日",D48+1,IF(C48="每週",D48+7,IF(C48="每月",EDATE(D48,1),IF(C48="每季",EDATE(D48,3),IF(C48="每年",EDATE(D48,12),""))))))</f>
        <v/>
      </c>
      <c r="F48" s="21">
        <f>IF(E48="","",IF(E48&lt;TODAY(),"逾期","正常"))</f>
        <v/>
      </c>
      <c r="G48" s="21" t="n"/>
      <c r="H48" s="21" t="n"/>
    </row>
    <row r="49">
      <c r="A49" s="21" t="n"/>
      <c r="B49" s="21" t="n"/>
      <c r="C49" s="21" t="n"/>
      <c r="D49" s="18" t="n"/>
      <c r="E49" s="18">
        <f>IF(D49="","",IF(C49="每日",D49+1,IF(C49="每週",D49+7,IF(C49="每月",EDATE(D49,1),IF(C49="每季",EDATE(D49,3),IF(C49="每年",EDATE(D49,12),""))))))</f>
        <v/>
      </c>
      <c r="F49" s="21">
        <f>IF(E49="","",IF(E49&lt;TODAY(),"逾期","正常"))</f>
        <v/>
      </c>
      <c r="G49" s="21" t="n"/>
      <c r="H49" s="21" t="n"/>
    </row>
    <row r="50">
      <c r="A50" s="21" t="n"/>
      <c r="B50" s="21" t="n"/>
      <c r="C50" s="21" t="n"/>
      <c r="D50" s="18" t="n"/>
      <c r="E50" s="18">
        <f>IF(D50="","",IF(C50="每日",D50+1,IF(C50="每週",D50+7,IF(C50="每月",EDATE(D50,1),IF(C50="每季",EDATE(D50,3),IF(C50="每年",EDATE(D50,12),""))))))</f>
        <v/>
      </c>
      <c r="F50" s="21">
        <f>IF(E50="","",IF(E50&lt;TODAY(),"逾期","正常"))</f>
        <v/>
      </c>
      <c r="G50" s="21" t="n"/>
      <c r="H50" s="21" t="n"/>
    </row>
    <row r="51">
      <c r="A51" s="21" t="n"/>
      <c r="B51" s="21" t="n"/>
      <c r="C51" s="21" t="n"/>
      <c r="D51" s="18" t="n"/>
      <c r="E51" s="18">
        <f>IF(D51="","",IF(C51="每日",D51+1,IF(C51="每週",D51+7,IF(C51="每月",EDATE(D51,1),IF(C51="每季",EDATE(D51,3),IF(C51="每年",EDATE(D51,12),""))))))</f>
        <v/>
      </c>
      <c r="F51" s="21">
        <f>IF(E51="","",IF(E51&lt;TODAY(),"逾期","正常"))</f>
        <v/>
      </c>
      <c r="G51" s="21" t="n"/>
      <c r="H51" s="21" t="n"/>
    </row>
    <row r="52">
      <c r="A52" s="21" t="n"/>
      <c r="B52" s="21" t="n"/>
      <c r="C52" s="21" t="n"/>
      <c r="D52" s="18" t="n"/>
      <c r="E52" s="18">
        <f>IF(D52="","",IF(C52="每日",D52+1,IF(C52="每週",D52+7,IF(C52="每月",EDATE(D52,1),IF(C52="每季",EDATE(D52,3),IF(C52="每年",EDATE(D52,12),""))))))</f>
        <v/>
      </c>
      <c r="F52" s="21">
        <f>IF(E52="","",IF(E52&lt;TODAY(),"逾期","正常"))</f>
        <v/>
      </c>
      <c r="G52" s="21" t="n"/>
      <c r="H52" s="21" t="n"/>
    </row>
    <row r="53">
      <c r="A53" s="21" t="n"/>
      <c r="B53" s="21" t="n"/>
      <c r="C53" s="21" t="n"/>
      <c r="D53" s="18" t="n"/>
      <c r="E53" s="18">
        <f>IF(D53="","",IF(C53="每日",D53+1,IF(C53="每週",D53+7,IF(C53="每月",EDATE(D53,1),IF(C53="每季",EDATE(D53,3),IF(C53="每年",EDATE(D53,12),""))))))</f>
        <v/>
      </c>
      <c r="F53" s="21">
        <f>IF(E53="","",IF(E53&lt;TODAY(),"逾期","正常"))</f>
        <v/>
      </c>
      <c r="G53" s="21" t="n"/>
      <c r="H53" s="21" t="n"/>
    </row>
    <row r="54">
      <c r="A54" s="21" t="n"/>
      <c r="B54" s="21" t="n"/>
      <c r="C54" s="21" t="n"/>
      <c r="D54" s="18" t="n"/>
      <c r="E54" s="18">
        <f>IF(D54="","",IF(C54="每日",D54+1,IF(C54="每週",D54+7,IF(C54="每月",EDATE(D54,1),IF(C54="每季",EDATE(D54,3),IF(C54="每年",EDATE(D54,12),""))))))</f>
        <v/>
      </c>
      <c r="F54" s="21">
        <f>IF(E54="","",IF(E54&lt;TODAY(),"逾期","正常"))</f>
        <v/>
      </c>
      <c r="G54" s="21" t="n"/>
      <c r="H54" s="21" t="n"/>
    </row>
    <row r="55">
      <c r="A55" s="21" t="n"/>
      <c r="B55" s="21" t="n"/>
      <c r="C55" s="21" t="n"/>
      <c r="D55" s="18" t="n"/>
      <c r="E55" s="18">
        <f>IF(D55="","",IF(C55="每日",D55+1,IF(C55="每週",D55+7,IF(C55="每月",EDATE(D55,1),IF(C55="每季",EDATE(D55,3),IF(C55="每年",EDATE(D55,12),""))))))</f>
        <v/>
      </c>
      <c r="F55" s="21">
        <f>IF(E55="","",IF(E55&lt;TODAY(),"逾期","正常"))</f>
        <v/>
      </c>
      <c r="G55" s="21" t="n"/>
      <c r="H55" s="21" t="n"/>
    </row>
    <row r="56">
      <c r="A56" s="21" t="n"/>
      <c r="B56" s="21" t="n"/>
      <c r="C56" s="21" t="n"/>
      <c r="D56" s="18" t="n"/>
      <c r="E56" s="18">
        <f>IF(D56="","",IF(C56="每日",D56+1,IF(C56="每週",D56+7,IF(C56="每月",EDATE(D56,1),IF(C56="每季",EDATE(D56,3),IF(C56="每年",EDATE(D56,12),""))))))</f>
        <v/>
      </c>
      <c r="F56" s="21">
        <f>IF(E56="","",IF(E56&lt;TODAY(),"逾期","正常"))</f>
        <v/>
      </c>
      <c r="G56" s="21" t="n"/>
      <c r="H56" s="21" t="n"/>
    </row>
    <row r="57">
      <c r="A57" s="21" t="n"/>
      <c r="B57" s="21" t="n"/>
      <c r="C57" s="21" t="n"/>
      <c r="D57" s="18" t="n"/>
      <c r="E57" s="18">
        <f>IF(D57="","",IF(C57="每日",D57+1,IF(C57="每週",D57+7,IF(C57="每月",EDATE(D57,1),IF(C57="每季",EDATE(D57,3),IF(C57="每年",EDATE(D57,12),""))))))</f>
        <v/>
      </c>
      <c r="F57" s="21">
        <f>IF(E57="","",IF(E57&lt;TODAY(),"逾期","正常"))</f>
        <v/>
      </c>
      <c r="G57" s="21" t="n"/>
      <c r="H57" s="21" t="n"/>
    </row>
    <row r="58">
      <c r="A58" s="21" t="n"/>
      <c r="B58" s="21" t="n"/>
      <c r="C58" s="21" t="n"/>
      <c r="D58" s="18" t="n"/>
      <c r="E58" s="18">
        <f>IF(D58="","",IF(C58="每日",D58+1,IF(C58="每週",D58+7,IF(C58="每月",EDATE(D58,1),IF(C58="每季",EDATE(D58,3),IF(C58="每年",EDATE(D58,12),""))))))</f>
        <v/>
      </c>
      <c r="F58" s="21">
        <f>IF(E58="","",IF(E58&lt;TODAY(),"逾期","正常"))</f>
        <v/>
      </c>
      <c r="G58" s="21" t="n"/>
      <c r="H58" s="21" t="n"/>
    </row>
    <row r="59">
      <c r="A59" s="21" t="n"/>
      <c r="B59" s="21" t="n"/>
      <c r="C59" s="21" t="n"/>
      <c r="D59" s="18" t="n"/>
      <c r="E59" s="18">
        <f>IF(D59="","",IF(C59="每日",D59+1,IF(C59="每週",D59+7,IF(C59="每月",EDATE(D59,1),IF(C59="每季",EDATE(D59,3),IF(C59="每年",EDATE(D59,12),""))))))</f>
        <v/>
      </c>
      <c r="F59" s="21">
        <f>IF(E59="","",IF(E59&lt;TODAY(),"逾期","正常"))</f>
        <v/>
      </c>
      <c r="G59" s="21" t="n"/>
      <c r="H59" s="21" t="n"/>
    </row>
    <row r="60">
      <c r="A60" s="21" t="n"/>
      <c r="B60" s="21" t="n"/>
      <c r="C60" s="21" t="n"/>
      <c r="D60" s="18" t="n"/>
      <c r="E60" s="18">
        <f>IF(D60="","",IF(C60="每日",D60+1,IF(C60="每週",D60+7,IF(C60="每月",EDATE(D60,1),IF(C60="每季",EDATE(D60,3),IF(C60="每年",EDATE(D60,12),""))))))</f>
        <v/>
      </c>
      <c r="F60" s="21">
        <f>IF(E60="","",IF(E60&lt;TODAY(),"逾期","正常"))</f>
        <v/>
      </c>
      <c r="G60" s="21" t="n"/>
      <c r="H60" s="21" t="n"/>
    </row>
    <row r="61">
      <c r="A61" s="21" t="n"/>
      <c r="B61" s="21" t="n"/>
      <c r="C61" s="21" t="n"/>
      <c r="D61" s="18" t="n"/>
      <c r="E61" s="18">
        <f>IF(D61="","",IF(C61="每日",D61+1,IF(C61="每週",D61+7,IF(C61="每月",EDATE(D61,1),IF(C61="每季",EDATE(D61,3),IF(C61="每年",EDATE(D61,12),""))))))</f>
        <v/>
      </c>
      <c r="F61" s="21">
        <f>IF(E61="","",IF(E61&lt;TODAY(),"逾期","正常"))</f>
        <v/>
      </c>
      <c r="G61" s="21" t="n"/>
      <c r="H61" s="21" t="n"/>
    </row>
    <row r="62">
      <c r="A62" s="21" t="n"/>
      <c r="B62" s="21" t="n"/>
      <c r="C62" s="21" t="n"/>
      <c r="D62" s="18" t="n"/>
      <c r="E62" s="18">
        <f>IF(D62="","",IF(C62="每日",D62+1,IF(C62="每週",D62+7,IF(C62="每月",EDATE(D62,1),IF(C62="每季",EDATE(D62,3),IF(C62="每年",EDATE(D62,12),""))))))</f>
        <v/>
      </c>
      <c r="F62" s="21">
        <f>IF(E62="","",IF(E62&lt;TODAY(),"逾期","正常"))</f>
        <v/>
      </c>
      <c r="G62" s="21" t="n"/>
      <c r="H62" s="21" t="n"/>
    </row>
    <row r="63">
      <c r="A63" s="21" t="n"/>
      <c r="B63" s="21" t="n"/>
      <c r="C63" s="21" t="n"/>
      <c r="D63" s="18" t="n"/>
      <c r="E63" s="18">
        <f>IF(D63="","",IF(C63="每日",D63+1,IF(C63="每週",D63+7,IF(C63="每月",EDATE(D63,1),IF(C63="每季",EDATE(D63,3),IF(C63="每年",EDATE(D63,12),""))))))</f>
        <v/>
      </c>
      <c r="F63" s="21">
        <f>IF(E63="","",IF(E63&lt;TODAY(),"逾期","正常"))</f>
        <v/>
      </c>
      <c r="G63" s="21" t="n"/>
      <c r="H63" s="21" t="n"/>
    </row>
    <row r="64">
      <c r="A64" s="21" t="n"/>
      <c r="B64" s="21" t="n"/>
      <c r="C64" s="21" t="n"/>
      <c r="D64" s="18" t="n"/>
      <c r="E64" s="18">
        <f>IF(D64="","",IF(C64="每日",D64+1,IF(C64="每週",D64+7,IF(C64="每月",EDATE(D64,1),IF(C64="每季",EDATE(D64,3),IF(C64="每年",EDATE(D64,12),""))))))</f>
        <v/>
      </c>
      <c r="F64" s="21">
        <f>IF(E64="","",IF(E64&lt;TODAY(),"逾期","正常"))</f>
        <v/>
      </c>
      <c r="G64" s="21" t="n"/>
      <c r="H64" s="21" t="n"/>
    </row>
    <row r="65">
      <c r="A65" s="21" t="n"/>
      <c r="B65" s="21" t="n"/>
      <c r="C65" s="21" t="n"/>
      <c r="D65" s="18" t="n"/>
      <c r="E65" s="18">
        <f>IF(D65="","",IF(C65="每日",D65+1,IF(C65="每週",D65+7,IF(C65="每月",EDATE(D65,1),IF(C65="每季",EDATE(D65,3),IF(C65="每年",EDATE(D65,12),""))))))</f>
        <v/>
      </c>
      <c r="F65" s="21">
        <f>IF(E65="","",IF(E65&lt;TODAY(),"逾期","正常"))</f>
        <v/>
      </c>
      <c r="G65" s="21" t="n"/>
      <c r="H65" s="21" t="n"/>
    </row>
    <row r="66">
      <c r="A66" s="21" t="n"/>
      <c r="B66" s="21" t="n"/>
      <c r="C66" s="21" t="n"/>
      <c r="D66" s="18" t="n"/>
      <c r="E66" s="18">
        <f>IF(D66="","",IF(C66="每日",D66+1,IF(C66="每週",D66+7,IF(C66="每月",EDATE(D66,1),IF(C66="每季",EDATE(D66,3),IF(C66="每年",EDATE(D66,12),""))))))</f>
        <v/>
      </c>
      <c r="F66" s="21">
        <f>IF(E66="","",IF(E66&lt;TODAY(),"逾期","正常"))</f>
        <v/>
      </c>
      <c r="G66" s="21" t="n"/>
      <c r="H66" s="21" t="n"/>
    </row>
    <row r="67">
      <c r="A67" s="21" t="n"/>
      <c r="B67" s="21" t="n"/>
      <c r="C67" s="21" t="n"/>
      <c r="D67" s="18" t="n"/>
      <c r="E67" s="18">
        <f>IF(D67="","",IF(C67="每日",D67+1,IF(C67="每週",D67+7,IF(C67="每月",EDATE(D67,1),IF(C67="每季",EDATE(D67,3),IF(C67="每年",EDATE(D67,12),""))))))</f>
        <v/>
      </c>
      <c r="F67" s="21">
        <f>IF(E67="","",IF(E67&lt;TODAY(),"逾期","正常"))</f>
        <v/>
      </c>
      <c r="G67" s="21" t="n"/>
      <c r="H67" s="21" t="n"/>
    </row>
    <row r="68">
      <c r="A68" s="21" t="n"/>
      <c r="B68" s="21" t="n"/>
      <c r="C68" s="21" t="n"/>
      <c r="D68" s="18" t="n"/>
      <c r="E68" s="18">
        <f>IF(D68="","",IF(C68="每日",D68+1,IF(C68="每週",D68+7,IF(C68="每月",EDATE(D68,1),IF(C68="每季",EDATE(D68,3),IF(C68="每年",EDATE(D68,12),""))))))</f>
        <v/>
      </c>
      <c r="F68" s="21">
        <f>IF(E68="","",IF(E68&lt;TODAY(),"逾期","正常"))</f>
        <v/>
      </c>
      <c r="G68" s="21" t="n"/>
      <c r="H68" s="21" t="n"/>
    </row>
    <row r="69">
      <c r="A69" s="21" t="n"/>
      <c r="B69" s="21" t="n"/>
      <c r="C69" s="21" t="n"/>
      <c r="D69" s="18" t="n"/>
      <c r="E69" s="18">
        <f>IF(D69="","",IF(C69="每日",D69+1,IF(C69="每週",D69+7,IF(C69="每月",EDATE(D69,1),IF(C69="每季",EDATE(D69,3),IF(C69="每年",EDATE(D69,12),""))))))</f>
        <v/>
      </c>
      <c r="F69" s="21">
        <f>IF(E69="","",IF(E69&lt;TODAY(),"逾期","正常"))</f>
        <v/>
      </c>
      <c r="G69" s="21" t="n"/>
      <c r="H69" s="21" t="n"/>
    </row>
    <row r="70">
      <c r="A70" s="21" t="n"/>
      <c r="B70" s="21" t="n"/>
      <c r="C70" s="21" t="n"/>
      <c r="D70" s="18" t="n"/>
      <c r="E70" s="18">
        <f>IF(D70="","",IF(C70="每日",D70+1,IF(C70="每週",D70+7,IF(C70="每月",EDATE(D70,1),IF(C70="每季",EDATE(D70,3),IF(C70="每年",EDATE(D70,12),""))))))</f>
        <v/>
      </c>
      <c r="F70" s="21">
        <f>IF(E70="","",IF(E70&lt;TODAY(),"逾期","正常"))</f>
        <v/>
      </c>
      <c r="G70" s="21" t="n"/>
      <c r="H70" s="21" t="n"/>
    </row>
    <row r="71">
      <c r="A71" s="21" t="n"/>
      <c r="B71" s="21" t="n"/>
      <c r="C71" s="21" t="n"/>
      <c r="D71" s="18" t="n"/>
      <c r="E71" s="18">
        <f>IF(D71="","",IF(C71="每日",D71+1,IF(C71="每週",D71+7,IF(C71="每月",EDATE(D71,1),IF(C71="每季",EDATE(D71,3),IF(C71="每年",EDATE(D71,12),""))))))</f>
        <v/>
      </c>
      <c r="F71" s="21">
        <f>IF(E71="","",IF(E71&lt;TODAY(),"逾期","正常"))</f>
        <v/>
      </c>
      <c r="G71" s="21" t="n"/>
      <c r="H71" s="21" t="n"/>
    </row>
    <row r="72">
      <c r="A72" s="21" t="n"/>
      <c r="B72" s="21" t="n"/>
      <c r="C72" s="21" t="n"/>
      <c r="D72" s="18" t="n"/>
      <c r="E72" s="18">
        <f>IF(D72="","",IF(C72="每日",D72+1,IF(C72="每週",D72+7,IF(C72="每月",EDATE(D72,1),IF(C72="每季",EDATE(D72,3),IF(C72="每年",EDATE(D72,12),""))))))</f>
        <v/>
      </c>
      <c r="F72" s="21">
        <f>IF(E72="","",IF(E72&lt;TODAY(),"逾期","正常"))</f>
        <v/>
      </c>
      <c r="G72" s="21" t="n"/>
      <c r="H72" s="21" t="n"/>
    </row>
    <row r="73">
      <c r="A73" s="21" t="n"/>
      <c r="B73" s="21" t="n"/>
      <c r="C73" s="21" t="n"/>
      <c r="D73" s="18" t="n"/>
      <c r="E73" s="18">
        <f>IF(D73="","",IF(C73="每日",D73+1,IF(C73="每週",D73+7,IF(C73="每月",EDATE(D73,1),IF(C73="每季",EDATE(D73,3),IF(C73="每年",EDATE(D73,12),""))))))</f>
        <v/>
      </c>
      <c r="F73" s="21">
        <f>IF(E73="","",IF(E73&lt;TODAY(),"逾期","正常"))</f>
        <v/>
      </c>
      <c r="G73" s="21" t="n"/>
      <c r="H73" s="21" t="n"/>
    </row>
    <row r="74">
      <c r="A74" s="21" t="n"/>
      <c r="B74" s="21" t="n"/>
      <c r="C74" s="21" t="n"/>
      <c r="D74" s="18" t="n"/>
      <c r="E74" s="18">
        <f>IF(D74="","",IF(C74="每日",D74+1,IF(C74="每週",D74+7,IF(C74="每月",EDATE(D74,1),IF(C74="每季",EDATE(D74,3),IF(C74="每年",EDATE(D74,12),""))))))</f>
        <v/>
      </c>
      <c r="F74" s="21">
        <f>IF(E74="","",IF(E74&lt;TODAY(),"逾期","正常"))</f>
        <v/>
      </c>
      <c r="G74" s="21" t="n"/>
      <c r="H74" s="21" t="n"/>
    </row>
    <row r="75">
      <c r="A75" s="21" t="n"/>
      <c r="B75" s="21" t="n"/>
      <c r="C75" s="21" t="n"/>
      <c r="D75" s="18" t="n"/>
      <c r="E75" s="18">
        <f>IF(D75="","",IF(C75="每日",D75+1,IF(C75="每週",D75+7,IF(C75="每月",EDATE(D75,1),IF(C75="每季",EDATE(D75,3),IF(C75="每年",EDATE(D75,12),""))))))</f>
        <v/>
      </c>
      <c r="F75" s="21">
        <f>IF(E75="","",IF(E75&lt;TODAY(),"逾期","正常"))</f>
        <v/>
      </c>
      <c r="G75" s="21" t="n"/>
      <c r="H75" s="21" t="n"/>
    </row>
    <row r="76">
      <c r="A76" s="21" t="n"/>
      <c r="B76" s="21" t="n"/>
      <c r="C76" s="21" t="n"/>
      <c r="D76" s="18" t="n"/>
      <c r="E76" s="18">
        <f>IF(D76="","",IF(C76="每日",D76+1,IF(C76="每週",D76+7,IF(C76="每月",EDATE(D76,1),IF(C76="每季",EDATE(D76,3),IF(C76="每年",EDATE(D76,12),""))))))</f>
        <v/>
      </c>
      <c r="F76" s="21">
        <f>IF(E76="","",IF(E76&lt;TODAY(),"逾期","正常"))</f>
        <v/>
      </c>
      <c r="G76" s="21" t="n"/>
      <c r="H76" s="21" t="n"/>
    </row>
    <row r="77">
      <c r="A77" s="21" t="n"/>
      <c r="B77" s="21" t="n"/>
      <c r="C77" s="21" t="n"/>
      <c r="D77" s="18" t="n"/>
      <c r="E77" s="18">
        <f>IF(D77="","",IF(C77="每日",D77+1,IF(C77="每週",D77+7,IF(C77="每月",EDATE(D77,1),IF(C77="每季",EDATE(D77,3),IF(C77="每年",EDATE(D77,12),""))))))</f>
        <v/>
      </c>
      <c r="F77" s="21">
        <f>IF(E77="","",IF(E77&lt;TODAY(),"逾期","正常"))</f>
        <v/>
      </c>
      <c r="G77" s="21" t="n"/>
      <c r="H77" s="21" t="n"/>
    </row>
    <row r="78">
      <c r="A78" s="21" t="n"/>
      <c r="B78" s="21" t="n"/>
      <c r="C78" s="21" t="n"/>
      <c r="D78" s="18" t="n"/>
      <c r="E78" s="18">
        <f>IF(D78="","",IF(C78="每日",D78+1,IF(C78="每週",D78+7,IF(C78="每月",EDATE(D78,1),IF(C78="每季",EDATE(D78,3),IF(C78="每年",EDATE(D78,12),""))))))</f>
        <v/>
      </c>
      <c r="F78" s="21">
        <f>IF(E78="","",IF(E78&lt;TODAY(),"逾期","正常"))</f>
        <v/>
      </c>
      <c r="G78" s="21" t="n"/>
      <c r="H78" s="21" t="n"/>
    </row>
    <row r="79">
      <c r="A79" s="21" t="n"/>
      <c r="B79" s="21" t="n"/>
      <c r="C79" s="21" t="n"/>
      <c r="D79" s="18" t="n"/>
      <c r="E79" s="18">
        <f>IF(D79="","",IF(C79="每日",D79+1,IF(C79="每週",D79+7,IF(C79="每月",EDATE(D79,1),IF(C79="每季",EDATE(D79,3),IF(C79="每年",EDATE(D79,12),""))))))</f>
        <v/>
      </c>
      <c r="F79" s="21">
        <f>IF(E79="","",IF(E79&lt;TODAY(),"逾期","正常"))</f>
        <v/>
      </c>
      <c r="G79" s="21" t="n"/>
      <c r="H79" s="21" t="n"/>
    </row>
    <row r="80">
      <c r="A80" s="21" t="n"/>
      <c r="B80" s="21" t="n"/>
      <c r="C80" s="21" t="n"/>
      <c r="D80" s="18" t="n"/>
      <c r="E80" s="18">
        <f>IF(D80="","",IF(C80="每日",D80+1,IF(C80="每週",D80+7,IF(C80="每月",EDATE(D80,1),IF(C80="每季",EDATE(D80,3),IF(C80="每年",EDATE(D80,12),""))))))</f>
        <v/>
      </c>
      <c r="F80" s="21">
        <f>IF(E80="","",IF(E80&lt;TODAY(),"逾期","正常"))</f>
        <v/>
      </c>
      <c r="G80" s="21" t="n"/>
      <c r="H80" s="21" t="n"/>
    </row>
    <row r="81">
      <c r="A81" s="21" t="n"/>
      <c r="B81" s="21" t="n"/>
      <c r="C81" s="21" t="n"/>
      <c r="D81" s="18" t="n"/>
      <c r="E81" s="18">
        <f>IF(D81="","",IF(C81="每日",D81+1,IF(C81="每週",D81+7,IF(C81="每月",EDATE(D81,1),IF(C81="每季",EDATE(D81,3),IF(C81="每年",EDATE(D81,12),""))))))</f>
        <v/>
      </c>
      <c r="F81" s="21">
        <f>IF(E81="","",IF(E81&lt;TODAY(),"逾期","正常"))</f>
        <v/>
      </c>
      <c r="G81" s="21" t="n"/>
      <c r="H81" s="21" t="n"/>
    </row>
    <row r="82">
      <c r="A82" s="21" t="n"/>
      <c r="B82" s="21" t="n"/>
      <c r="C82" s="21" t="n"/>
      <c r="D82" s="18" t="n"/>
      <c r="E82" s="18">
        <f>IF(D82="","",IF(C82="每日",D82+1,IF(C82="每週",D82+7,IF(C82="每月",EDATE(D82,1),IF(C82="每季",EDATE(D82,3),IF(C82="每年",EDATE(D82,12),""))))))</f>
        <v/>
      </c>
      <c r="F82" s="21">
        <f>IF(E82="","",IF(E82&lt;TODAY(),"逾期","正常"))</f>
        <v/>
      </c>
      <c r="G82" s="21" t="n"/>
      <c r="H82" s="21" t="n"/>
    </row>
    <row r="83">
      <c r="A83" s="21" t="n"/>
      <c r="B83" s="21" t="n"/>
      <c r="C83" s="21" t="n"/>
      <c r="D83" s="18" t="n"/>
      <c r="E83" s="18">
        <f>IF(D83="","",IF(C83="每日",D83+1,IF(C83="每週",D83+7,IF(C83="每月",EDATE(D83,1),IF(C83="每季",EDATE(D83,3),IF(C83="每年",EDATE(D83,12),""))))))</f>
        <v/>
      </c>
      <c r="F83" s="21">
        <f>IF(E83="","",IF(E83&lt;TODAY(),"逾期","正常"))</f>
        <v/>
      </c>
      <c r="G83" s="21" t="n"/>
      <c r="H83" s="21" t="n"/>
    </row>
    <row r="84">
      <c r="A84" s="21" t="n"/>
      <c r="B84" s="21" t="n"/>
      <c r="C84" s="21" t="n"/>
      <c r="D84" s="18" t="n"/>
      <c r="E84" s="18">
        <f>IF(D84="","",IF(C84="每日",D84+1,IF(C84="每週",D84+7,IF(C84="每月",EDATE(D84,1),IF(C84="每季",EDATE(D84,3),IF(C84="每年",EDATE(D84,12),""))))))</f>
        <v/>
      </c>
      <c r="F84" s="21">
        <f>IF(E84="","",IF(E84&lt;TODAY(),"逾期","正常"))</f>
        <v/>
      </c>
      <c r="G84" s="21" t="n"/>
      <c r="H84" s="21" t="n"/>
    </row>
    <row r="85">
      <c r="A85" s="21" t="n"/>
      <c r="B85" s="21" t="n"/>
      <c r="C85" s="21" t="n"/>
      <c r="D85" s="18" t="n"/>
      <c r="E85" s="18">
        <f>IF(D85="","",IF(C85="每日",D85+1,IF(C85="每週",D85+7,IF(C85="每月",EDATE(D85,1),IF(C85="每季",EDATE(D85,3),IF(C85="每年",EDATE(D85,12),""))))))</f>
        <v/>
      </c>
      <c r="F85" s="21">
        <f>IF(E85="","",IF(E85&lt;TODAY(),"逾期","正常"))</f>
        <v/>
      </c>
      <c r="G85" s="21" t="n"/>
      <c r="H85" s="21" t="n"/>
    </row>
    <row r="86">
      <c r="A86" s="21" t="n"/>
      <c r="B86" s="21" t="n"/>
      <c r="C86" s="21" t="n"/>
      <c r="D86" s="18" t="n"/>
      <c r="E86" s="18">
        <f>IF(D86="","",IF(C86="每日",D86+1,IF(C86="每週",D86+7,IF(C86="每月",EDATE(D86,1),IF(C86="每季",EDATE(D86,3),IF(C86="每年",EDATE(D86,12),""))))))</f>
        <v/>
      </c>
      <c r="F86" s="21">
        <f>IF(E86="","",IF(E86&lt;TODAY(),"逾期","正常"))</f>
        <v/>
      </c>
      <c r="G86" s="21" t="n"/>
      <c r="H86" s="21" t="n"/>
    </row>
    <row r="87">
      <c r="A87" s="21" t="n"/>
      <c r="B87" s="21" t="n"/>
      <c r="C87" s="21" t="n"/>
      <c r="D87" s="18" t="n"/>
      <c r="E87" s="18">
        <f>IF(D87="","",IF(C87="每日",D87+1,IF(C87="每週",D87+7,IF(C87="每月",EDATE(D87,1),IF(C87="每季",EDATE(D87,3),IF(C87="每年",EDATE(D87,12),""))))))</f>
        <v/>
      </c>
      <c r="F87" s="21">
        <f>IF(E87="","",IF(E87&lt;TODAY(),"逾期","正常"))</f>
        <v/>
      </c>
      <c r="G87" s="21" t="n"/>
      <c r="H87" s="21" t="n"/>
    </row>
    <row r="88">
      <c r="A88" s="21" t="n"/>
      <c r="B88" s="21" t="n"/>
      <c r="C88" s="21" t="n"/>
      <c r="D88" s="18" t="n"/>
      <c r="E88" s="18">
        <f>IF(D88="","",IF(C88="每日",D88+1,IF(C88="每週",D88+7,IF(C88="每月",EDATE(D88,1),IF(C88="每季",EDATE(D88,3),IF(C88="每年",EDATE(D88,12),""))))))</f>
        <v/>
      </c>
      <c r="F88" s="21">
        <f>IF(E88="","",IF(E88&lt;TODAY(),"逾期","正常"))</f>
        <v/>
      </c>
      <c r="G88" s="21" t="n"/>
      <c r="H88" s="21" t="n"/>
    </row>
    <row r="89">
      <c r="A89" s="21" t="n"/>
      <c r="B89" s="21" t="n"/>
      <c r="C89" s="21" t="n"/>
      <c r="D89" s="18" t="n"/>
      <c r="E89" s="18">
        <f>IF(D89="","",IF(C89="每日",D89+1,IF(C89="每週",D89+7,IF(C89="每月",EDATE(D89,1),IF(C89="每季",EDATE(D89,3),IF(C89="每年",EDATE(D89,12),""))))))</f>
        <v/>
      </c>
      <c r="F89" s="21">
        <f>IF(E89="","",IF(E89&lt;TODAY(),"逾期","正常"))</f>
        <v/>
      </c>
      <c r="G89" s="21" t="n"/>
      <c r="H89" s="21" t="n"/>
    </row>
    <row r="90">
      <c r="A90" s="21" t="n"/>
      <c r="B90" s="21" t="n"/>
      <c r="C90" s="21" t="n"/>
      <c r="D90" s="18" t="n"/>
      <c r="E90" s="18">
        <f>IF(D90="","",IF(C90="每日",D90+1,IF(C90="每週",D90+7,IF(C90="每月",EDATE(D90,1),IF(C90="每季",EDATE(D90,3),IF(C90="每年",EDATE(D90,12),""))))))</f>
        <v/>
      </c>
      <c r="F90" s="21">
        <f>IF(E90="","",IF(E90&lt;TODAY(),"逾期","正常"))</f>
        <v/>
      </c>
      <c r="G90" s="21" t="n"/>
      <c r="H90" s="21" t="n"/>
    </row>
    <row r="91">
      <c r="A91" s="21" t="n"/>
      <c r="B91" s="21" t="n"/>
      <c r="C91" s="21" t="n"/>
      <c r="D91" s="18" t="n"/>
      <c r="E91" s="18">
        <f>IF(D91="","",IF(C91="每日",D91+1,IF(C91="每週",D91+7,IF(C91="每月",EDATE(D91,1),IF(C91="每季",EDATE(D91,3),IF(C91="每年",EDATE(D91,12),""))))))</f>
        <v/>
      </c>
      <c r="F91" s="21">
        <f>IF(E91="","",IF(E91&lt;TODAY(),"逾期","正常"))</f>
        <v/>
      </c>
      <c r="G91" s="21" t="n"/>
      <c r="H91" s="21" t="n"/>
    </row>
    <row r="92">
      <c r="A92" s="21" t="n"/>
      <c r="B92" s="21" t="n"/>
      <c r="C92" s="21" t="n"/>
      <c r="D92" s="18" t="n"/>
      <c r="E92" s="18">
        <f>IF(D92="","",IF(C92="每日",D92+1,IF(C92="每週",D92+7,IF(C92="每月",EDATE(D92,1),IF(C92="每季",EDATE(D92,3),IF(C92="每年",EDATE(D92,12),""))))))</f>
        <v/>
      </c>
      <c r="F92" s="21">
        <f>IF(E92="","",IF(E92&lt;TODAY(),"逾期","正常"))</f>
        <v/>
      </c>
      <c r="G92" s="21" t="n"/>
      <c r="H92" s="21" t="n"/>
    </row>
    <row r="93">
      <c r="A93" s="21" t="n"/>
      <c r="B93" s="21" t="n"/>
      <c r="C93" s="21" t="n"/>
      <c r="D93" s="18" t="n"/>
      <c r="E93" s="18">
        <f>IF(D93="","",IF(C93="每日",D93+1,IF(C93="每週",D93+7,IF(C93="每月",EDATE(D93,1),IF(C93="每季",EDATE(D93,3),IF(C93="每年",EDATE(D93,12),""))))))</f>
        <v/>
      </c>
      <c r="F93" s="21">
        <f>IF(E93="","",IF(E93&lt;TODAY(),"逾期","正常"))</f>
        <v/>
      </c>
      <c r="G93" s="21" t="n"/>
      <c r="H93" s="21" t="n"/>
    </row>
    <row r="94">
      <c r="A94" s="21" t="n"/>
      <c r="B94" s="21" t="n"/>
      <c r="C94" s="21" t="n"/>
      <c r="D94" s="18" t="n"/>
      <c r="E94" s="18">
        <f>IF(D94="","",IF(C94="每日",D94+1,IF(C94="每週",D94+7,IF(C94="每月",EDATE(D94,1),IF(C94="每季",EDATE(D94,3),IF(C94="每年",EDATE(D94,12),""))))))</f>
        <v/>
      </c>
      <c r="F94" s="21">
        <f>IF(E94="","",IF(E94&lt;TODAY(),"逾期","正常"))</f>
        <v/>
      </c>
      <c r="G94" s="21" t="n"/>
      <c r="H94" s="21" t="n"/>
    </row>
    <row r="95">
      <c r="A95" s="21" t="n"/>
      <c r="B95" s="21" t="n"/>
      <c r="C95" s="21" t="n"/>
      <c r="D95" s="18" t="n"/>
      <c r="E95" s="18">
        <f>IF(D95="","",IF(C95="每日",D95+1,IF(C95="每週",D95+7,IF(C95="每月",EDATE(D95,1),IF(C95="每季",EDATE(D95,3),IF(C95="每年",EDATE(D95,12),""))))))</f>
        <v/>
      </c>
      <c r="F95" s="21">
        <f>IF(E95="","",IF(E95&lt;TODAY(),"逾期","正常"))</f>
        <v/>
      </c>
      <c r="G95" s="21" t="n"/>
      <c r="H95" s="21" t="n"/>
    </row>
    <row r="96">
      <c r="A96" s="21" t="n"/>
      <c r="B96" s="21" t="n"/>
      <c r="C96" s="21" t="n"/>
      <c r="D96" s="18" t="n"/>
      <c r="E96" s="18">
        <f>IF(D96="","",IF(C96="每日",D96+1,IF(C96="每週",D96+7,IF(C96="每月",EDATE(D96,1),IF(C96="每季",EDATE(D96,3),IF(C96="每年",EDATE(D96,12),""))))))</f>
        <v/>
      </c>
      <c r="F96" s="21">
        <f>IF(E96="","",IF(E96&lt;TODAY(),"逾期","正常"))</f>
        <v/>
      </c>
      <c r="G96" s="21" t="n"/>
      <c r="H96" s="21" t="n"/>
    </row>
    <row r="97">
      <c r="A97" s="21" t="n"/>
      <c r="B97" s="21" t="n"/>
      <c r="C97" s="21" t="n"/>
      <c r="D97" s="18" t="n"/>
      <c r="E97" s="18">
        <f>IF(D97="","",IF(C97="每日",D97+1,IF(C97="每週",D97+7,IF(C97="每月",EDATE(D97,1),IF(C97="每季",EDATE(D97,3),IF(C97="每年",EDATE(D97,12),""))))))</f>
        <v/>
      </c>
      <c r="F97" s="21">
        <f>IF(E97="","",IF(E97&lt;TODAY(),"逾期","正常"))</f>
        <v/>
      </c>
      <c r="G97" s="21" t="n"/>
      <c r="H97" s="21" t="n"/>
    </row>
    <row r="98">
      <c r="A98" s="21" t="n"/>
      <c r="B98" s="21" t="n"/>
      <c r="C98" s="21" t="n"/>
      <c r="D98" s="18" t="n"/>
      <c r="E98" s="18">
        <f>IF(D98="","",IF(C98="每日",D98+1,IF(C98="每週",D98+7,IF(C98="每月",EDATE(D98,1),IF(C98="每季",EDATE(D98,3),IF(C98="每年",EDATE(D98,12),""))))))</f>
        <v/>
      </c>
      <c r="F98" s="21">
        <f>IF(E98="","",IF(E98&lt;TODAY(),"逾期","正常"))</f>
        <v/>
      </c>
      <c r="G98" s="21" t="n"/>
      <c r="H98" s="21" t="n"/>
    </row>
    <row r="99">
      <c r="A99" s="21" t="n"/>
      <c r="B99" s="21" t="n"/>
      <c r="C99" s="21" t="n"/>
      <c r="D99" s="18" t="n"/>
      <c r="E99" s="18">
        <f>IF(D99="","",IF(C99="每日",D99+1,IF(C99="每週",D99+7,IF(C99="每月",EDATE(D99,1),IF(C99="每季",EDATE(D99,3),IF(C99="每年",EDATE(D99,12),""))))))</f>
        <v/>
      </c>
      <c r="F99" s="21">
        <f>IF(E99="","",IF(E99&lt;TODAY(),"逾期","正常"))</f>
        <v/>
      </c>
      <c r="G99" s="21" t="n"/>
      <c r="H99" s="21" t="n"/>
    </row>
    <row r="100">
      <c r="A100" s="21" t="n"/>
      <c r="B100" s="21" t="n"/>
      <c r="C100" s="21" t="n"/>
      <c r="D100" s="18" t="n"/>
      <c r="E100" s="18">
        <f>IF(D100="","",IF(C100="每日",D100+1,IF(C100="每週",D100+7,IF(C100="每月",EDATE(D100,1),IF(C100="每季",EDATE(D100,3),IF(C100="每年",EDATE(D100,12),""))))))</f>
        <v/>
      </c>
      <c r="F100" s="21">
        <f>IF(E100="","",IF(E100&lt;TODAY(),"逾期","正常"))</f>
        <v/>
      </c>
      <c r="G100" s="21" t="n"/>
      <c r="H100" s="21" t="n"/>
    </row>
    <row r="101">
      <c r="A101" s="21" t="n"/>
      <c r="B101" s="21" t="n"/>
      <c r="C101" s="21" t="n"/>
      <c r="D101" s="18" t="n"/>
      <c r="E101" s="18">
        <f>IF(D101="","",IF(C101="每日",D101+1,IF(C101="每週",D101+7,IF(C101="每月",EDATE(D101,1),IF(C101="每季",EDATE(D101,3),IF(C101="每年",EDATE(D101,12),""))))))</f>
        <v/>
      </c>
      <c r="F101" s="21">
        <f>IF(E101="","",IF(E101&lt;TODAY(),"逾期","正常"))</f>
        <v/>
      </c>
      <c r="G101" s="21" t="n"/>
      <c r="H101" s="21" t="n"/>
    </row>
    <row r="102">
      <c r="A102" s="21" t="n"/>
      <c r="B102" s="21" t="n"/>
      <c r="C102" s="21" t="n"/>
      <c r="D102" s="18" t="n"/>
      <c r="E102" s="18">
        <f>IF(D102="","",IF(C102="每日",D102+1,IF(C102="每週",D102+7,IF(C102="每月",EDATE(D102,1),IF(C102="每季",EDATE(D102,3),IF(C102="每年",EDATE(D102,12),""))))))</f>
        <v/>
      </c>
      <c r="F102" s="21">
        <f>IF(E102="","",IF(E102&lt;TODAY(),"逾期","正常"))</f>
        <v/>
      </c>
      <c r="G102" s="21" t="n"/>
      <c r="H102" s="21" t="n"/>
    </row>
    <row r="103">
      <c r="A103" s="21" t="n"/>
      <c r="B103" s="21" t="n"/>
      <c r="C103" s="21" t="n"/>
      <c r="D103" s="18" t="n"/>
      <c r="E103" s="18">
        <f>IF(D103="","",IF(C103="每日",D103+1,IF(C103="每週",D103+7,IF(C103="每月",EDATE(D103,1),IF(C103="每季",EDATE(D103,3),IF(C103="每年",EDATE(D103,12),""))))))</f>
        <v/>
      </c>
      <c r="F103" s="21">
        <f>IF(E103="","",IF(E103&lt;TODAY(),"逾期","正常"))</f>
        <v/>
      </c>
      <c r="G103" s="21" t="n"/>
      <c r="H103" s="21" t="n"/>
    </row>
    <row r="104">
      <c r="A104" s="21" t="n"/>
      <c r="B104" s="21" t="n"/>
      <c r="C104" s="21" t="n"/>
      <c r="D104" s="18" t="n"/>
      <c r="E104" s="18">
        <f>IF(D104="","",IF(C104="每日",D104+1,IF(C104="每週",D104+7,IF(C104="每月",EDATE(D104,1),IF(C104="每季",EDATE(D104,3),IF(C104="每年",EDATE(D104,12),""))))))</f>
        <v/>
      </c>
      <c r="F104" s="21">
        <f>IF(E104="","",IF(E104&lt;TODAY(),"逾期","正常"))</f>
        <v/>
      </c>
      <c r="G104" s="21" t="n"/>
      <c r="H104" s="21" t="n"/>
    </row>
    <row r="105">
      <c r="A105" s="21" t="n"/>
      <c r="B105" s="21" t="n"/>
      <c r="C105" s="21" t="n"/>
      <c r="D105" s="18" t="n"/>
      <c r="E105" s="18">
        <f>IF(D105="","",IF(C105="每日",D105+1,IF(C105="每週",D105+7,IF(C105="每月",EDATE(D105,1),IF(C105="每季",EDATE(D105,3),IF(C105="每年",EDATE(D105,12),""))))))</f>
        <v/>
      </c>
      <c r="F105" s="21">
        <f>IF(E105="","",IF(E105&lt;TODAY(),"逾期","正常"))</f>
        <v/>
      </c>
      <c r="G105" s="21" t="n"/>
      <c r="H105" s="21" t="n"/>
    </row>
    <row r="106">
      <c r="A106" s="21" t="n"/>
      <c r="B106" s="21" t="n"/>
      <c r="C106" s="21" t="n"/>
      <c r="D106" s="18" t="n"/>
      <c r="E106" s="18">
        <f>IF(D106="","",IF(C106="每日",D106+1,IF(C106="每週",D106+7,IF(C106="每月",EDATE(D106,1),IF(C106="每季",EDATE(D106,3),IF(C106="每年",EDATE(D106,12),""))))))</f>
        <v/>
      </c>
      <c r="F106" s="21">
        <f>IF(E106="","",IF(E106&lt;TODAY(),"逾期","正常"))</f>
        <v/>
      </c>
      <c r="G106" s="21" t="n"/>
      <c r="H106" s="21" t="n"/>
    </row>
    <row r="107">
      <c r="A107" s="21" t="n"/>
      <c r="B107" s="21" t="n"/>
      <c r="C107" s="21" t="n"/>
      <c r="D107" s="18" t="n"/>
      <c r="E107" s="18">
        <f>IF(D107="","",IF(C107="每日",D107+1,IF(C107="每週",D107+7,IF(C107="每月",EDATE(D107,1),IF(C107="每季",EDATE(D107,3),IF(C107="每年",EDATE(D107,12),""))))))</f>
        <v/>
      </c>
      <c r="F107" s="21">
        <f>IF(E107="","",IF(E107&lt;TODAY(),"逾期","正常"))</f>
        <v/>
      </c>
      <c r="G107" s="21" t="n"/>
      <c r="H107" s="21" t="n"/>
    </row>
    <row r="108">
      <c r="A108" s="21" t="n"/>
      <c r="B108" s="21" t="n"/>
      <c r="C108" s="21" t="n"/>
      <c r="D108" s="18" t="n"/>
      <c r="E108" s="18">
        <f>IF(D108="","",IF(C108="每日",D108+1,IF(C108="每週",D108+7,IF(C108="每月",EDATE(D108,1),IF(C108="每季",EDATE(D108,3),IF(C108="每年",EDATE(D108,12),""))))))</f>
        <v/>
      </c>
      <c r="F108" s="21">
        <f>IF(E108="","",IF(E108&lt;TODAY(),"逾期","正常"))</f>
        <v/>
      </c>
      <c r="G108" s="21" t="n"/>
      <c r="H108" s="21" t="n"/>
    </row>
    <row r="109">
      <c r="A109" s="21" t="n"/>
      <c r="B109" s="21" t="n"/>
      <c r="C109" s="21" t="n"/>
      <c r="D109" s="18" t="n"/>
      <c r="E109" s="18">
        <f>IF(D109="","",IF(C109="每日",D109+1,IF(C109="每週",D109+7,IF(C109="每月",EDATE(D109,1),IF(C109="每季",EDATE(D109,3),IF(C109="每年",EDATE(D109,12),""))))))</f>
        <v/>
      </c>
      <c r="F109" s="21">
        <f>IF(E109="","",IF(E109&lt;TODAY(),"逾期","正常"))</f>
        <v/>
      </c>
      <c r="G109" s="21" t="n"/>
      <c r="H109" s="21" t="n"/>
    </row>
    <row r="110">
      <c r="A110" s="21" t="n"/>
      <c r="B110" s="21" t="n"/>
      <c r="C110" s="21" t="n"/>
      <c r="D110" s="18" t="n"/>
      <c r="E110" s="18">
        <f>IF(D110="","",IF(C110="每日",D110+1,IF(C110="每週",D110+7,IF(C110="每月",EDATE(D110,1),IF(C110="每季",EDATE(D110,3),IF(C110="每年",EDATE(D110,12),""))))))</f>
        <v/>
      </c>
      <c r="F110" s="21">
        <f>IF(E110="","",IF(E110&lt;TODAY(),"逾期","正常"))</f>
        <v/>
      </c>
      <c r="G110" s="21" t="n"/>
      <c r="H110" s="21" t="n"/>
    </row>
    <row r="111">
      <c r="A111" s="21" t="n"/>
      <c r="B111" s="21" t="n"/>
      <c r="C111" s="21" t="n"/>
      <c r="D111" s="18" t="n"/>
      <c r="E111" s="18">
        <f>IF(D111="","",IF(C111="每日",D111+1,IF(C111="每週",D111+7,IF(C111="每月",EDATE(D111,1),IF(C111="每季",EDATE(D111,3),IF(C111="每年",EDATE(D111,12),""))))))</f>
        <v/>
      </c>
      <c r="F111" s="21">
        <f>IF(E111="","",IF(E111&lt;TODAY(),"逾期","正常"))</f>
        <v/>
      </c>
      <c r="G111" s="21" t="n"/>
      <c r="H111" s="21" t="n"/>
    </row>
    <row r="112">
      <c r="A112" s="21" t="n"/>
      <c r="B112" s="21" t="n"/>
      <c r="C112" s="21" t="n"/>
      <c r="D112" s="18" t="n"/>
      <c r="E112" s="18">
        <f>IF(D112="","",IF(C112="每日",D112+1,IF(C112="每週",D112+7,IF(C112="每月",EDATE(D112,1),IF(C112="每季",EDATE(D112,3),IF(C112="每年",EDATE(D112,12),""))))))</f>
        <v/>
      </c>
      <c r="F112" s="21">
        <f>IF(E112="","",IF(E112&lt;TODAY(),"逾期","正常"))</f>
        <v/>
      </c>
      <c r="G112" s="21" t="n"/>
      <c r="H112" s="21" t="n"/>
    </row>
    <row r="113">
      <c r="A113" s="21" t="n"/>
      <c r="B113" s="21" t="n"/>
      <c r="C113" s="21" t="n"/>
      <c r="D113" s="18" t="n"/>
      <c r="E113" s="18">
        <f>IF(D113="","",IF(C113="每日",D113+1,IF(C113="每週",D113+7,IF(C113="每月",EDATE(D113,1),IF(C113="每季",EDATE(D113,3),IF(C113="每年",EDATE(D113,12),""))))))</f>
        <v/>
      </c>
      <c r="F113" s="21">
        <f>IF(E113="","",IF(E113&lt;TODAY(),"逾期","正常"))</f>
        <v/>
      </c>
      <c r="G113" s="21" t="n"/>
      <c r="H113" s="21" t="n"/>
    </row>
    <row r="114">
      <c r="A114" s="21" t="n"/>
      <c r="B114" s="21" t="n"/>
      <c r="C114" s="21" t="n"/>
      <c r="D114" s="18" t="n"/>
      <c r="E114" s="18">
        <f>IF(D114="","",IF(C114="每日",D114+1,IF(C114="每週",D114+7,IF(C114="每月",EDATE(D114,1),IF(C114="每季",EDATE(D114,3),IF(C114="每年",EDATE(D114,12),""))))))</f>
        <v/>
      </c>
      <c r="F114" s="21">
        <f>IF(E114="","",IF(E114&lt;TODAY(),"逾期","正常"))</f>
        <v/>
      </c>
      <c r="G114" s="21" t="n"/>
      <c r="H114" s="21" t="n"/>
    </row>
    <row r="115">
      <c r="A115" s="21" t="n"/>
      <c r="B115" s="21" t="n"/>
      <c r="C115" s="21" t="n"/>
      <c r="D115" s="18" t="n"/>
      <c r="E115" s="18">
        <f>IF(D115="","",IF(C115="每日",D115+1,IF(C115="每週",D115+7,IF(C115="每月",EDATE(D115,1),IF(C115="每季",EDATE(D115,3),IF(C115="每年",EDATE(D115,12),""))))))</f>
        <v/>
      </c>
      <c r="F115" s="21">
        <f>IF(E115="","",IF(E115&lt;TODAY(),"逾期","正常"))</f>
        <v/>
      </c>
      <c r="G115" s="21" t="n"/>
      <c r="H115" s="21" t="n"/>
    </row>
    <row r="116">
      <c r="A116" s="21" t="n"/>
      <c r="B116" s="21" t="n"/>
      <c r="C116" s="21" t="n"/>
      <c r="D116" s="18" t="n"/>
      <c r="E116" s="18">
        <f>IF(D116="","",IF(C116="每日",D116+1,IF(C116="每週",D116+7,IF(C116="每月",EDATE(D116,1),IF(C116="每季",EDATE(D116,3),IF(C116="每年",EDATE(D116,12),""))))))</f>
        <v/>
      </c>
      <c r="F116" s="21">
        <f>IF(E116="","",IF(E116&lt;TODAY(),"逾期","正常"))</f>
        <v/>
      </c>
      <c r="G116" s="21" t="n"/>
      <c r="H116" s="21" t="n"/>
    </row>
    <row r="117">
      <c r="A117" s="21" t="n"/>
      <c r="B117" s="21" t="n"/>
      <c r="C117" s="21" t="n"/>
      <c r="D117" s="18" t="n"/>
      <c r="E117" s="18">
        <f>IF(D117="","",IF(C117="每日",D117+1,IF(C117="每週",D117+7,IF(C117="每月",EDATE(D117,1),IF(C117="每季",EDATE(D117,3),IF(C117="每年",EDATE(D117,12),""))))))</f>
        <v/>
      </c>
      <c r="F117" s="21">
        <f>IF(E117="","",IF(E117&lt;TODAY(),"逾期","正常"))</f>
        <v/>
      </c>
      <c r="G117" s="21" t="n"/>
      <c r="H117" s="21" t="n"/>
    </row>
    <row r="118">
      <c r="A118" s="21" t="n"/>
      <c r="B118" s="21" t="n"/>
      <c r="C118" s="21" t="n"/>
      <c r="D118" s="18" t="n"/>
      <c r="E118" s="18">
        <f>IF(D118="","",IF(C118="每日",D118+1,IF(C118="每週",D118+7,IF(C118="每月",EDATE(D118,1),IF(C118="每季",EDATE(D118,3),IF(C118="每年",EDATE(D118,12),""))))))</f>
        <v/>
      </c>
      <c r="F118" s="21">
        <f>IF(E118="","",IF(E118&lt;TODAY(),"逾期","正常"))</f>
        <v/>
      </c>
      <c r="G118" s="21" t="n"/>
      <c r="H118" s="21" t="n"/>
    </row>
    <row r="119">
      <c r="A119" s="21" t="n"/>
      <c r="B119" s="21" t="n"/>
      <c r="C119" s="21" t="n"/>
      <c r="D119" s="18" t="n"/>
      <c r="E119" s="18">
        <f>IF(D119="","",IF(C119="每日",D119+1,IF(C119="每週",D119+7,IF(C119="每月",EDATE(D119,1),IF(C119="每季",EDATE(D119,3),IF(C119="每年",EDATE(D119,12),""))))))</f>
        <v/>
      </c>
      <c r="F119" s="21">
        <f>IF(E119="","",IF(E119&lt;TODAY(),"逾期","正常"))</f>
        <v/>
      </c>
      <c r="G119" s="21" t="n"/>
      <c r="H119" s="21" t="n"/>
    </row>
    <row r="120">
      <c r="A120" s="21" t="n"/>
      <c r="B120" s="21" t="n"/>
      <c r="C120" s="21" t="n"/>
      <c r="D120" s="18" t="n"/>
      <c r="E120" s="18">
        <f>IF(D120="","",IF(C120="每日",D120+1,IF(C120="每週",D120+7,IF(C120="每月",EDATE(D120,1),IF(C120="每季",EDATE(D120,3),IF(C120="每年",EDATE(D120,12),""))))))</f>
        <v/>
      </c>
      <c r="F120" s="21">
        <f>IF(E120="","",IF(E120&lt;TODAY(),"逾期","正常"))</f>
        <v/>
      </c>
      <c r="G120" s="21" t="n"/>
      <c r="H120" s="21" t="n"/>
    </row>
    <row r="121">
      <c r="A121" s="21" t="n"/>
      <c r="B121" s="21" t="n"/>
      <c r="C121" s="21" t="n"/>
      <c r="D121" s="18" t="n"/>
      <c r="E121" s="18">
        <f>IF(D121="","",IF(C121="每日",D121+1,IF(C121="每週",D121+7,IF(C121="每月",EDATE(D121,1),IF(C121="每季",EDATE(D121,3),IF(C121="每年",EDATE(D121,12),""))))))</f>
        <v/>
      </c>
      <c r="F121" s="21">
        <f>IF(E121="","",IF(E121&lt;TODAY(),"逾期","正常"))</f>
        <v/>
      </c>
      <c r="G121" s="21" t="n"/>
      <c r="H121" s="21" t="n"/>
    </row>
    <row r="122">
      <c r="A122" s="21" t="n"/>
      <c r="B122" s="21" t="n"/>
      <c r="C122" s="21" t="n"/>
      <c r="D122" s="18" t="n"/>
      <c r="E122" s="18">
        <f>IF(D122="","",IF(C122="每日",D122+1,IF(C122="每週",D122+7,IF(C122="每月",EDATE(D122,1),IF(C122="每季",EDATE(D122,3),IF(C122="每年",EDATE(D122,12),""))))))</f>
        <v/>
      </c>
      <c r="F122" s="21">
        <f>IF(E122="","",IF(E122&lt;TODAY(),"逾期","正常"))</f>
        <v/>
      </c>
      <c r="G122" s="21" t="n"/>
      <c r="H122" s="21" t="n"/>
    </row>
    <row r="123">
      <c r="A123" s="21" t="n"/>
      <c r="B123" s="21" t="n"/>
      <c r="C123" s="21" t="n"/>
      <c r="D123" s="18" t="n"/>
      <c r="E123" s="18">
        <f>IF(D123="","",IF(C123="每日",D123+1,IF(C123="每週",D123+7,IF(C123="每月",EDATE(D123,1),IF(C123="每季",EDATE(D123,3),IF(C123="每年",EDATE(D123,12),""))))))</f>
        <v/>
      </c>
      <c r="F123" s="21">
        <f>IF(E123="","",IF(E123&lt;TODAY(),"逾期","正常"))</f>
        <v/>
      </c>
      <c r="G123" s="21" t="n"/>
      <c r="H123" s="21" t="n"/>
    </row>
    <row r="124">
      <c r="A124" s="21" t="n"/>
      <c r="B124" s="21" t="n"/>
      <c r="C124" s="21" t="n"/>
      <c r="D124" s="18" t="n"/>
      <c r="E124" s="18">
        <f>IF(D124="","",IF(C124="每日",D124+1,IF(C124="每週",D124+7,IF(C124="每月",EDATE(D124,1),IF(C124="每季",EDATE(D124,3),IF(C124="每年",EDATE(D124,12),""))))))</f>
        <v/>
      </c>
      <c r="F124" s="21">
        <f>IF(E124="","",IF(E124&lt;TODAY(),"逾期","正常"))</f>
        <v/>
      </c>
      <c r="G124" s="21" t="n"/>
      <c r="H124" s="21" t="n"/>
    </row>
    <row r="125">
      <c r="A125" s="21" t="n"/>
      <c r="B125" s="21" t="n"/>
      <c r="C125" s="21" t="n"/>
      <c r="D125" s="18" t="n"/>
      <c r="E125" s="18">
        <f>IF(D125="","",IF(C125="每日",D125+1,IF(C125="每週",D125+7,IF(C125="每月",EDATE(D125,1),IF(C125="每季",EDATE(D125,3),IF(C125="每年",EDATE(D125,12),""))))))</f>
        <v/>
      </c>
      <c r="F125" s="21">
        <f>IF(E125="","",IF(E125&lt;TODAY(),"逾期","正常"))</f>
        <v/>
      </c>
      <c r="G125" s="21" t="n"/>
      <c r="H125" s="21" t="n"/>
    </row>
    <row r="126">
      <c r="A126" s="21" t="n"/>
      <c r="B126" s="21" t="n"/>
      <c r="C126" s="21" t="n"/>
      <c r="D126" s="18" t="n"/>
      <c r="E126" s="18">
        <f>IF(D126="","",IF(C126="每日",D126+1,IF(C126="每週",D126+7,IF(C126="每月",EDATE(D126,1),IF(C126="每季",EDATE(D126,3),IF(C126="每年",EDATE(D126,12),""))))))</f>
        <v/>
      </c>
      <c r="F126" s="21">
        <f>IF(E126="","",IF(E126&lt;TODAY(),"逾期","正常"))</f>
        <v/>
      </c>
      <c r="G126" s="21" t="n"/>
      <c r="H126" s="21" t="n"/>
    </row>
    <row r="127">
      <c r="A127" s="21" t="n"/>
      <c r="B127" s="21" t="n"/>
      <c r="C127" s="21" t="n"/>
      <c r="D127" s="18" t="n"/>
      <c r="E127" s="18">
        <f>IF(D127="","",IF(C127="每日",D127+1,IF(C127="每週",D127+7,IF(C127="每月",EDATE(D127,1),IF(C127="每季",EDATE(D127,3),IF(C127="每年",EDATE(D127,12),""))))))</f>
        <v/>
      </c>
      <c r="F127" s="21">
        <f>IF(E127="","",IF(E127&lt;TODAY(),"逾期","正常"))</f>
        <v/>
      </c>
      <c r="G127" s="21" t="n"/>
      <c r="H127" s="21" t="n"/>
    </row>
    <row r="128">
      <c r="A128" s="21" t="n"/>
      <c r="B128" s="21" t="n"/>
      <c r="C128" s="21" t="n"/>
      <c r="D128" s="18" t="n"/>
      <c r="E128" s="18">
        <f>IF(D128="","",IF(C128="每日",D128+1,IF(C128="每週",D128+7,IF(C128="每月",EDATE(D128,1),IF(C128="每季",EDATE(D128,3),IF(C128="每年",EDATE(D128,12),""))))))</f>
        <v/>
      </c>
      <c r="F128" s="21">
        <f>IF(E128="","",IF(E128&lt;TODAY(),"逾期","正常"))</f>
        <v/>
      </c>
      <c r="G128" s="21" t="n"/>
      <c r="H128" s="21" t="n"/>
    </row>
    <row r="129">
      <c r="A129" s="21" t="n"/>
      <c r="B129" s="21" t="n"/>
      <c r="C129" s="21" t="n"/>
      <c r="D129" s="18" t="n"/>
      <c r="E129" s="18">
        <f>IF(D129="","",IF(C129="每日",D129+1,IF(C129="每週",D129+7,IF(C129="每月",EDATE(D129,1),IF(C129="每季",EDATE(D129,3),IF(C129="每年",EDATE(D129,12),""))))))</f>
        <v/>
      </c>
      <c r="F129" s="21">
        <f>IF(E129="","",IF(E129&lt;TODAY(),"逾期","正常"))</f>
        <v/>
      </c>
      <c r="G129" s="21" t="n"/>
      <c r="H129" s="21" t="n"/>
    </row>
    <row r="130">
      <c r="A130" s="21" t="n"/>
      <c r="B130" s="21" t="n"/>
      <c r="C130" s="21" t="n"/>
      <c r="D130" s="18" t="n"/>
      <c r="E130" s="18">
        <f>IF(D130="","",IF(C130="每日",D130+1,IF(C130="每週",D130+7,IF(C130="每月",EDATE(D130,1),IF(C130="每季",EDATE(D130,3),IF(C130="每年",EDATE(D130,12),""))))))</f>
        <v/>
      </c>
      <c r="F130" s="21">
        <f>IF(E130="","",IF(E130&lt;TODAY(),"逾期","正常"))</f>
        <v/>
      </c>
      <c r="G130" s="21" t="n"/>
      <c r="H130" s="21" t="n"/>
    </row>
    <row r="131">
      <c r="A131" s="21" t="n"/>
      <c r="B131" s="21" t="n"/>
      <c r="C131" s="21" t="n"/>
      <c r="D131" s="18" t="n"/>
      <c r="E131" s="18">
        <f>IF(D131="","",IF(C131="每日",D131+1,IF(C131="每週",D131+7,IF(C131="每月",EDATE(D131,1),IF(C131="每季",EDATE(D131,3),IF(C131="每年",EDATE(D131,12),""))))))</f>
        <v/>
      </c>
      <c r="F131" s="21">
        <f>IF(E131="","",IF(E131&lt;TODAY(),"逾期","正常"))</f>
        <v/>
      </c>
      <c r="G131" s="21" t="n"/>
      <c r="H131" s="21" t="n"/>
    </row>
    <row r="132">
      <c r="A132" s="21" t="n"/>
      <c r="B132" s="21" t="n"/>
      <c r="C132" s="21" t="n"/>
      <c r="D132" s="18" t="n"/>
      <c r="E132" s="18">
        <f>IF(D132="","",IF(C132="每日",D132+1,IF(C132="每週",D132+7,IF(C132="每月",EDATE(D132,1),IF(C132="每季",EDATE(D132,3),IF(C132="每年",EDATE(D132,12),""))))))</f>
        <v/>
      </c>
      <c r="F132" s="21">
        <f>IF(E132="","",IF(E132&lt;TODAY(),"逾期","正常"))</f>
        <v/>
      </c>
      <c r="G132" s="21" t="n"/>
      <c r="H132" s="21" t="n"/>
    </row>
    <row r="133">
      <c r="A133" s="21" t="n"/>
      <c r="B133" s="21" t="n"/>
      <c r="C133" s="21" t="n"/>
      <c r="D133" s="18" t="n"/>
      <c r="E133" s="18">
        <f>IF(D133="","",IF(C133="每日",D133+1,IF(C133="每週",D133+7,IF(C133="每月",EDATE(D133,1),IF(C133="每季",EDATE(D133,3),IF(C133="每年",EDATE(D133,12),""))))))</f>
        <v/>
      </c>
      <c r="F133" s="21">
        <f>IF(E133="","",IF(E133&lt;TODAY(),"逾期","正常"))</f>
        <v/>
      </c>
      <c r="G133" s="21" t="n"/>
      <c r="H133" s="21" t="n"/>
    </row>
    <row r="134">
      <c r="A134" s="21" t="n"/>
      <c r="B134" s="21" t="n"/>
      <c r="C134" s="21" t="n"/>
      <c r="D134" s="18" t="n"/>
      <c r="E134" s="18">
        <f>IF(D134="","",IF(C134="每日",D134+1,IF(C134="每週",D134+7,IF(C134="每月",EDATE(D134,1),IF(C134="每季",EDATE(D134,3),IF(C134="每年",EDATE(D134,12),""))))))</f>
        <v/>
      </c>
      <c r="F134" s="21">
        <f>IF(E134="","",IF(E134&lt;TODAY(),"逾期","正常"))</f>
        <v/>
      </c>
      <c r="G134" s="21" t="n"/>
      <c r="H134" s="21" t="n"/>
    </row>
    <row r="135">
      <c r="A135" s="21" t="n"/>
      <c r="B135" s="21" t="n"/>
      <c r="C135" s="21" t="n"/>
      <c r="D135" s="18" t="n"/>
      <c r="E135" s="18">
        <f>IF(D135="","",IF(C135="每日",D135+1,IF(C135="每週",D135+7,IF(C135="每月",EDATE(D135,1),IF(C135="每季",EDATE(D135,3),IF(C135="每年",EDATE(D135,12),""))))))</f>
        <v/>
      </c>
      <c r="F135" s="21">
        <f>IF(E135="","",IF(E135&lt;TODAY(),"逾期","正常"))</f>
        <v/>
      </c>
      <c r="G135" s="21" t="n"/>
      <c r="H135" s="21" t="n"/>
    </row>
    <row r="136">
      <c r="A136" s="21" t="n"/>
      <c r="B136" s="21" t="n"/>
      <c r="C136" s="21" t="n"/>
      <c r="D136" s="18" t="n"/>
      <c r="E136" s="18">
        <f>IF(D136="","",IF(C136="每日",D136+1,IF(C136="每週",D136+7,IF(C136="每月",EDATE(D136,1),IF(C136="每季",EDATE(D136,3),IF(C136="每年",EDATE(D136,12),""))))))</f>
        <v/>
      </c>
      <c r="F136" s="21">
        <f>IF(E136="","",IF(E136&lt;TODAY(),"逾期","正常"))</f>
        <v/>
      </c>
      <c r="G136" s="21" t="n"/>
      <c r="H136" s="21" t="n"/>
    </row>
    <row r="137">
      <c r="A137" s="21" t="n"/>
      <c r="B137" s="21" t="n"/>
      <c r="C137" s="21" t="n"/>
      <c r="D137" s="18" t="n"/>
      <c r="E137" s="18">
        <f>IF(D137="","",IF(C137="每日",D137+1,IF(C137="每週",D137+7,IF(C137="每月",EDATE(D137,1),IF(C137="每季",EDATE(D137,3),IF(C137="每年",EDATE(D137,12),""))))))</f>
        <v/>
      </c>
      <c r="F137" s="21">
        <f>IF(E137="","",IF(E137&lt;TODAY(),"逾期","正常"))</f>
        <v/>
      </c>
      <c r="G137" s="21" t="n"/>
      <c r="H137" s="21" t="n"/>
    </row>
    <row r="138">
      <c r="A138" s="21" t="n"/>
      <c r="B138" s="21" t="n"/>
      <c r="C138" s="21" t="n"/>
      <c r="D138" s="18" t="n"/>
      <c r="E138" s="18">
        <f>IF(D138="","",IF(C138="每日",D138+1,IF(C138="每週",D138+7,IF(C138="每月",EDATE(D138,1),IF(C138="每季",EDATE(D138,3),IF(C138="每年",EDATE(D138,12),""))))))</f>
        <v/>
      </c>
      <c r="F138" s="21">
        <f>IF(E138="","",IF(E138&lt;TODAY(),"逾期","正常"))</f>
        <v/>
      </c>
      <c r="G138" s="21" t="n"/>
      <c r="H138" s="21" t="n"/>
    </row>
    <row r="139">
      <c r="A139" s="21" t="n"/>
      <c r="B139" s="21" t="n"/>
      <c r="C139" s="21" t="n"/>
      <c r="D139" s="18" t="n"/>
      <c r="E139" s="18">
        <f>IF(D139="","",IF(C139="每日",D139+1,IF(C139="每週",D139+7,IF(C139="每月",EDATE(D139,1),IF(C139="每季",EDATE(D139,3),IF(C139="每年",EDATE(D139,12),""))))))</f>
        <v/>
      </c>
      <c r="F139" s="21">
        <f>IF(E139="","",IF(E139&lt;TODAY(),"逾期","正常"))</f>
        <v/>
      </c>
      <c r="G139" s="21" t="n"/>
      <c r="H139" s="21" t="n"/>
    </row>
    <row r="140">
      <c r="A140" s="21" t="n"/>
      <c r="B140" s="21" t="n"/>
      <c r="C140" s="21" t="n"/>
      <c r="D140" s="18" t="n"/>
      <c r="E140" s="18">
        <f>IF(D140="","",IF(C140="每日",D140+1,IF(C140="每週",D140+7,IF(C140="每月",EDATE(D140,1),IF(C140="每季",EDATE(D140,3),IF(C140="每年",EDATE(D140,12),""))))))</f>
        <v/>
      </c>
      <c r="F140" s="21">
        <f>IF(E140="","",IF(E140&lt;TODAY(),"逾期","正常"))</f>
        <v/>
      </c>
      <c r="G140" s="21" t="n"/>
      <c r="H140" s="21" t="n"/>
    </row>
    <row r="141">
      <c r="A141" s="21" t="n"/>
      <c r="B141" s="21" t="n"/>
      <c r="C141" s="21" t="n"/>
      <c r="D141" s="18" t="n"/>
      <c r="E141" s="18">
        <f>IF(D141="","",IF(C141="每日",D141+1,IF(C141="每週",D141+7,IF(C141="每月",EDATE(D141,1),IF(C141="每季",EDATE(D141,3),IF(C141="每年",EDATE(D141,12),""))))))</f>
        <v/>
      </c>
      <c r="F141" s="21">
        <f>IF(E141="","",IF(E141&lt;TODAY(),"逾期","正常"))</f>
        <v/>
      </c>
      <c r="G141" s="21" t="n"/>
      <c r="H141" s="21" t="n"/>
    </row>
    <row r="142">
      <c r="A142" s="21" t="n"/>
      <c r="B142" s="21" t="n"/>
      <c r="C142" s="21" t="n"/>
      <c r="D142" s="18" t="n"/>
      <c r="E142" s="18">
        <f>IF(D142="","",IF(C142="每日",D142+1,IF(C142="每週",D142+7,IF(C142="每月",EDATE(D142,1),IF(C142="每季",EDATE(D142,3),IF(C142="每年",EDATE(D142,12),""))))))</f>
        <v/>
      </c>
      <c r="F142" s="21">
        <f>IF(E142="","",IF(E142&lt;TODAY(),"逾期","正常"))</f>
        <v/>
      </c>
      <c r="G142" s="21" t="n"/>
      <c r="H142" s="21" t="n"/>
    </row>
    <row r="143">
      <c r="A143" s="21" t="n"/>
      <c r="B143" s="21" t="n"/>
      <c r="C143" s="21" t="n"/>
      <c r="D143" s="18" t="n"/>
      <c r="E143" s="18">
        <f>IF(D143="","",IF(C143="每日",D143+1,IF(C143="每週",D143+7,IF(C143="每月",EDATE(D143,1),IF(C143="每季",EDATE(D143,3),IF(C143="每年",EDATE(D143,12),""))))))</f>
        <v/>
      </c>
      <c r="F143" s="21">
        <f>IF(E143="","",IF(E143&lt;TODAY(),"逾期","正常"))</f>
        <v/>
      </c>
      <c r="G143" s="21" t="n"/>
      <c r="H143" s="21" t="n"/>
    </row>
    <row r="144">
      <c r="A144" s="21" t="n"/>
      <c r="B144" s="21" t="n"/>
      <c r="C144" s="21" t="n"/>
      <c r="D144" s="18" t="n"/>
      <c r="E144" s="18">
        <f>IF(D144="","",IF(C144="每日",D144+1,IF(C144="每週",D144+7,IF(C144="每月",EDATE(D144,1),IF(C144="每季",EDATE(D144,3),IF(C144="每年",EDATE(D144,12),""))))))</f>
        <v/>
      </c>
      <c r="F144" s="21">
        <f>IF(E144="","",IF(E144&lt;TODAY(),"逾期","正常"))</f>
        <v/>
      </c>
      <c r="G144" s="21" t="n"/>
      <c r="H144" s="21" t="n"/>
    </row>
    <row r="145">
      <c r="A145" s="21" t="n"/>
      <c r="B145" s="21" t="n"/>
      <c r="C145" s="21" t="n"/>
      <c r="D145" s="18" t="n"/>
      <c r="E145" s="18">
        <f>IF(D145="","",IF(C145="每日",D145+1,IF(C145="每週",D145+7,IF(C145="每月",EDATE(D145,1),IF(C145="每季",EDATE(D145,3),IF(C145="每年",EDATE(D145,12),""))))))</f>
        <v/>
      </c>
      <c r="F145" s="21">
        <f>IF(E145="","",IF(E145&lt;TODAY(),"逾期","正常"))</f>
        <v/>
      </c>
      <c r="G145" s="21" t="n"/>
      <c r="H145" s="21" t="n"/>
    </row>
    <row r="146">
      <c r="A146" s="21" t="n"/>
      <c r="B146" s="21" t="n"/>
      <c r="C146" s="21" t="n"/>
      <c r="D146" s="18" t="n"/>
      <c r="E146" s="18">
        <f>IF(D146="","",IF(C146="每日",D146+1,IF(C146="每週",D146+7,IF(C146="每月",EDATE(D146,1),IF(C146="每季",EDATE(D146,3),IF(C146="每年",EDATE(D146,12),""))))))</f>
        <v/>
      </c>
      <c r="F146" s="21">
        <f>IF(E146="","",IF(E146&lt;TODAY(),"逾期","正常"))</f>
        <v/>
      </c>
      <c r="G146" s="21" t="n"/>
      <c r="H146" s="21" t="n"/>
    </row>
    <row r="147">
      <c r="A147" s="21" t="n"/>
      <c r="B147" s="21" t="n"/>
      <c r="C147" s="21" t="n"/>
      <c r="D147" s="18" t="n"/>
      <c r="E147" s="18">
        <f>IF(D147="","",IF(C147="每日",D147+1,IF(C147="每週",D147+7,IF(C147="每月",EDATE(D147,1),IF(C147="每季",EDATE(D147,3),IF(C147="每年",EDATE(D147,12),""))))))</f>
        <v/>
      </c>
      <c r="F147" s="21">
        <f>IF(E147="","",IF(E147&lt;TODAY(),"逾期","正常"))</f>
        <v/>
      </c>
      <c r="G147" s="21" t="n"/>
      <c r="H147" s="21" t="n"/>
    </row>
    <row r="148">
      <c r="A148" s="21" t="n"/>
      <c r="B148" s="21" t="n"/>
      <c r="C148" s="21" t="n"/>
      <c r="D148" s="18" t="n"/>
      <c r="E148" s="18">
        <f>IF(D148="","",IF(C148="每日",D148+1,IF(C148="每週",D148+7,IF(C148="每月",EDATE(D148,1),IF(C148="每季",EDATE(D148,3),IF(C148="每年",EDATE(D148,12),""))))))</f>
        <v/>
      </c>
      <c r="F148" s="21">
        <f>IF(E148="","",IF(E148&lt;TODAY(),"逾期","正常"))</f>
        <v/>
      </c>
      <c r="G148" s="21" t="n"/>
      <c r="H148" s="21" t="n"/>
    </row>
    <row r="149">
      <c r="A149" s="21" t="n"/>
      <c r="B149" s="21" t="n"/>
      <c r="C149" s="21" t="n"/>
      <c r="D149" s="18" t="n"/>
      <c r="E149" s="18">
        <f>IF(D149="","",IF(C149="每日",D149+1,IF(C149="每週",D149+7,IF(C149="每月",EDATE(D149,1),IF(C149="每季",EDATE(D149,3),IF(C149="每年",EDATE(D149,12),""))))))</f>
        <v/>
      </c>
      <c r="F149" s="21">
        <f>IF(E149="","",IF(E149&lt;TODAY(),"逾期","正常"))</f>
        <v/>
      </c>
      <c r="G149" s="21" t="n"/>
      <c r="H149" s="21" t="n"/>
    </row>
    <row r="150">
      <c r="A150" s="21" t="n"/>
      <c r="B150" s="21" t="n"/>
      <c r="C150" s="21" t="n"/>
      <c r="D150" s="18" t="n"/>
      <c r="E150" s="18">
        <f>IF(D150="","",IF(C150="每日",D150+1,IF(C150="每週",D150+7,IF(C150="每月",EDATE(D150,1),IF(C150="每季",EDATE(D150,3),IF(C150="每年",EDATE(D150,12),""))))))</f>
        <v/>
      </c>
      <c r="F150" s="21">
        <f>IF(E150="","",IF(E150&lt;TODAY(),"逾期","正常"))</f>
        <v/>
      </c>
      <c r="G150" s="21" t="n"/>
      <c r="H150" s="21" t="n"/>
    </row>
    <row r="151">
      <c r="A151" s="21" t="n"/>
      <c r="B151" s="21" t="n"/>
      <c r="C151" s="21" t="n"/>
      <c r="D151" s="18" t="n"/>
      <c r="E151" s="18">
        <f>IF(D151="","",IF(C151="每日",D151+1,IF(C151="每週",D151+7,IF(C151="每月",EDATE(D151,1),IF(C151="每季",EDATE(D151,3),IF(C151="每年",EDATE(D151,12),""))))))</f>
        <v/>
      </c>
      <c r="F151" s="21">
        <f>IF(E151="","",IF(E151&lt;TODAY(),"逾期","正常"))</f>
        <v/>
      </c>
      <c r="G151" s="21" t="n"/>
      <c r="H151" s="21" t="n"/>
    </row>
    <row r="152">
      <c r="A152" s="21" t="n"/>
      <c r="B152" s="21" t="n"/>
      <c r="C152" s="21" t="n"/>
      <c r="D152" s="18" t="n"/>
      <c r="E152" s="18">
        <f>IF(D152="","",IF(C152="每日",D152+1,IF(C152="每週",D152+7,IF(C152="每月",EDATE(D152,1),IF(C152="每季",EDATE(D152,3),IF(C152="每年",EDATE(D152,12),""))))))</f>
        <v/>
      </c>
      <c r="F152" s="21">
        <f>IF(E152="","",IF(E152&lt;TODAY(),"逾期","正常"))</f>
        <v/>
      </c>
      <c r="G152" s="21" t="n"/>
      <c r="H152" s="21" t="n"/>
    </row>
    <row r="153">
      <c r="A153" s="21" t="n"/>
      <c r="B153" s="21" t="n"/>
      <c r="C153" s="21" t="n"/>
      <c r="D153" s="18" t="n"/>
      <c r="E153" s="18">
        <f>IF(D153="","",IF(C153="每日",D153+1,IF(C153="每週",D153+7,IF(C153="每月",EDATE(D153,1),IF(C153="每季",EDATE(D153,3),IF(C153="每年",EDATE(D153,12),""))))))</f>
        <v/>
      </c>
      <c r="F153" s="21">
        <f>IF(E153="","",IF(E153&lt;TODAY(),"逾期","正常"))</f>
        <v/>
      </c>
      <c r="G153" s="21" t="n"/>
      <c r="H153" s="21" t="n"/>
    </row>
    <row r="154">
      <c r="A154" s="21" t="n"/>
      <c r="B154" s="21" t="n"/>
      <c r="C154" s="21" t="n"/>
      <c r="D154" s="18" t="n"/>
      <c r="E154" s="18">
        <f>IF(D154="","",IF(C154="每日",D154+1,IF(C154="每週",D154+7,IF(C154="每月",EDATE(D154,1),IF(C154="每季",EDATE(D154,3),IF(C154="每年",EDATE(D154,12),""))))))</f>
        <v/>
      </c>
      <c r="F154" s="21">
        <f>IF(E154="","",IF(E154&lt;TODAY(),"逾期","正常"))</f>
        <v/>
      </c>
      <c r="G154" s="21" t="n"/>
      <c r="H154" s="21" t="n"/>
    </row>
    <row r="155">
      <c r="A155" s="21" t="n"/>
      <c r="B155" s="21" t="n"/>
      <c r="C155" s="21" t="n"/>
      <c r="D155" s="18" t="n"/>
      <c r="E155" s="18">
        <f>IF(D155="","",IF(C155="每日",D155+1,IF(C155="每週",D155+7,IF(C155="每月",EDATE(D155,1),IF(C155="每季",EDATE(D155,3),IF(C155="每年",EDATE(D155,12),""))))))</f>
        <v/>
      </c>
      <c r="F155" s="21">
        <f>IF(E155="","",IF(E155&lt;TODAY(),"逾期","正常"))</f>
        <v/>
      </c>
      <c r="G155" s="21" t="n"/>
      <c r="H155" s="21" t="n"/>
    </row>
    <row r="156">
      <c r="A156" s="21" t="n"/>
      <c r="B156" s="21" t="n"/>
      <c r="C156" s="21" t="n"/>
      <c r="D156" s="18" t="n"/>
      <c r="E156" s="18">
        <f>IF(D156="","",IF(C156="每日",D156+1,IF(C156="每週",D156+7,IF(C156="每月",EDATE(D156,1),IF(C156="每季",EDATE(D156,3),IF(C156="每年",EDATE(D156,12),""))))))</f>
        <v/>
      </c>
      <c r="F156" s="21">
        <f>IF(E156="","",IF(E156&lt;TODAY(),"逾期","正常"))</f>
        <v/>
      </c>
      <c r="G156" s="21" t="n"/>
      <c r="H156" s="21" t="n"/>
    </row>
    <row r="157">
      <c r="A157" s="21" t="n"/>
      <c r="B157" s="21" t="n"/>
      <c r="C157" s="21" t="n"/>
      <c r="D157" s="18" t="n"/>
      <c r="E157" s="18">
        <f>IF(D157="","",IF(C157="每日",D157+1,IF(C157="每週",D157+7,IF(C157="每月",EDATE(D157,1),IF(C157="每季",EDATE(D157,3),IF(C157="每年",EDATE(D157,12),""))))))</f>
        <v/>
      </c>
      <c r="F157" s="21">
        <f>IF(E157="","",IF(E157&lt;TODAY(),"逾期","正常"))</f>
        <v/>
      </c>
      <c r="G157" s="21" t="n"/>
      <c r="H157" s="21" t="n"/>
    </row>
    <row r="158">
      <c r="A158" s="21" t="n"/>
      <c r="B158" s="21" t="n"/>
      <c r="C158" s="21" t="n"/>
      <c r="D158" s="18" t="n"/>
      <c r="E158" s="18">
        <f>IF(D158="","",IF(C158="每日",D158+1,IF(C158="每週",D158+7,IF(C158="每月",EDATE(D158,1),IF(C158="每季",EDATE(D158,3),IF(C158="每年",EDATE(D158,12),""))))))</f>
        <v/>
      </c>
      <c r="F158" s="21">
        <f>IF(E158="","",IF(E158&lt;TODAY(),"逾期","正常"))</f>
        <v/>
      </c>
      <c r="G158" s="21" t="n"/>
      <c r="H158" s="21" t="n"/>
    </row>
    <row r="159">
      <c r="A159" s="21" t="n"/>
      <c r="B159" s="21" t="n"/>
      <c r="C159" s="21" t="n"/>
      <c r="D159" s="18" t="n"/>
      <c r="E159" s="18">
        <f>IF(D159="","",IF(C159="每日",D159+1,IF(C159="每週",D159+7,IF(C159="每月",EDATE(D159,1),IF(C159="每季",EDATE(D159,3),IF(C159="每年",EDATE(D159,12),""))))))</f>
        <v/>
      </c>
      <c r="F159" s="21">
        <f>IF(E159="","",IF(E159&lt;TODAY(),"逾期","正常"))</f>
        <v/>
      </c>
      <c r="G159" s="21" t="n"/>
      <c r="H159" s="21" t="n"/>
    </row>
    <row r="160">
      <c r="A160" s="21" t="n"/>
      <c r="B160" s="21" t="n"/>
      <c r="C160" s="21" t="n"/>
      <c r="D160" s="18" t="n"/>
      <c r="E160" s="18">
        <f>IF(D160="","",IF(C160="每日",D160+1,IF(C160="每週",D160+7,IF(C160="每月",EDATE(D160,1),IF(C160="每季",EDATE(D160,3),IF(C160="每年",EDATE(D160,12),""))))))</f>
        <v/>
      </c>
      <c r="F160" s="21">
        <f>IF(E160="","",IF(E160&lt;TODAY(),"逾期","正常"))</f>
        <v/>
      </c>
      <c r="G160" s="21" t="n"/>
      <c r="H160" s="21" t="n"/>
    </row>
    <row r="161">
      <c r="A161" s="21" t="n"/>
      <c r="B161" s="21" t="n"/>
      <c r="C161" s="21" t="n"/>
      <c r="D161" s="18" t="n"/>
      <c r="E161" s="18">
        <f>IF(D161="","",IF(C161="每日",D161+1,IF(C161="每週",D161+7,IF(C161="每月",EDATE(D161,1),IF(C161="每季",EDATE(D161,3),IF(C161="每年",EDATE(D161,12),""))))))</f>
        <v/>
      </c>
      <c r="F161" s="21">
        <f>IF(E161="","",IF(E161&lt;TODAY(),"逾期","正常"))</f>
        <v/>
      </c>
      <c r="G161" s="21" t="n"/>
      <c r="H161" s="21" t="n"/>
    </row>
    <row r="162">
      <c r="A162" s="21" t="n"/>
      <c r="B162" s="21" t="n"/>
      <c r="C162" s="21" t="n"/>
      <c r="D162" s="18" t="n"/>
      <c r="E162" s="18">
        <f>IF(D162="","",IF(C162="每日",D162+1,IF(C162="每週",D162+7,IF(C162="每月",EDATE(D162,1),IF(C162="每季",EDATE(D162,3),IF(C162="每年",EDATE(D162,12),""))))))</f>
        <v/>
      </c>
      <c r="F162" s="21">
        <f>IF(E162="","",IF(E162&lt;TODAY(),"逾期","正常"))</f>
        <v/>
      </c>
      <c r="G162" s="21" t="n"/>
      <c r="H162" s="21" t="n"/>
    </row>
    <row r="163">
      <c r="A163" s="21" t="n"/>
      <c r="B163" s="21" t="n"/>
      <c r="C163" s="21" t="n"/>
      <c r="D163" s="18" t="n"/>
      <c r="E163" s="18">
        <f>IF(D163="","",IF(C163="每日",D163+1,IF(C163="每週",D163+7,IF(C163="每月",EDATE(D163,1),IF(C163="每季",EDATE(D163,3),IF(C163="每年",EDATE(D163,12),""))))))</f>
        <v/>
      </c>
      <c r="F163" s="21">
        <f>IF(E163="","",IF(E163&lt;TODAY(),"逾期","正常"))</f>
        <v/>
      </c>
      <c r="G163" s="21" t="n"/>
      <c r="H163" s="21" t="n"/>
    </row>
    <row r="164">
      <c r="A164" s="21" t="n"/>
      <c r="B164" s="21" t="n"/>
      <c r="C164" s="21" t="n"/>
      <c r="D164" s="18" t="n"/>
      <c r="E164" s="18">
        <f>IF(D164="","",IF(C164="每日",D164+1,IF(C164="每週",D164+7,IF(C164="每月",EDATE(D164,1),IF(C164="每季",EDATE(D164,3),IF(C164="每年",EDATE(D164,12),""))))))</f>
        <v/>
      </c>
      <c r="F164" s="21">
        <f>IF(E164="","",IF(E164&lt;TODAY(),"逾期","正常"))</f>
        <v/>
      </c>
      <c r="G164" s="21" t="n"/>
      <c r="H164" s="21" t="n"/>
    </row>
    <row r="165">
      <c r="A165" s="21" t="n"/>
      <c r="B165" s="21" t="n"/>
      <c r="C165" s="21" t="n"/>
      <c r="D165" s="18" t="n"/>
      <c r="E165" s="18">
        <f>IF(D165="","",IF(C165="每日",D165+1,IF(C165="每週",D165+7,IF(C165="每月",EDATE(D165,1),IF(C165="每季",EDATE(D165,3),IF(C165="每年",EDATE(D165,12),""))))))</f>
        <v/>
      </c>
      <c r="F165" s="21">
        <f>IF(E165="","",IF(E165&lt;TODAY(),"逾期","正常"))</f>
        <v/>
      </c>
      <c r="G165" s="21" t="n"/>
      <c r="H165" s="21" t="n"/>
    </row>
    <row r="166">
      <c r="A166" s="21" t="n"/>
      <c r="B166" s="21" t="n"/>
      <c r="C166" s="21" t="n"/>
      <c r="D166" s="18" t="n"/>
      <c r="E166" s="18">
        <f>IF(D166="","",IF(C166="每日",D166+1,IF(C166="每週",D166+7,IF(C166="每月",EDATE(D166,1),IF(C166="每季",EDATE(D166,3),IF(C166="每年",EDATE(D166,12),""))))))</f>
        <v/>
      </c>
      <c r="F166" s="21">
        <f>IF(E166="","",IF(E166&lt;TODAY(),"逾期","正常"))</f>
        <v/>
      </c>
      <c r="G166" s="21" t="n"/>
      <c r="H166" s="21" t="n"/>
    </row>
    <row r="167">
      <c r="A167" s="21" t="n"/>
      <c r="B167" s="21" t="n"/>
      <c r="C167" s="21" t="n"/>
      <c r="D167" s="18" t="n"/>
      <c r="E167" s="18">
        <f>IF(D167="","",IF(C167="每日",D167+1,IF(C167="每週",D167+7,IF(C167="每月",EDATE(D167,1),IF(C167="每季",EDATE(D167,3),IF(C167="每年",EDATE(D167,12),""))))))</f>
        <v/>
      </c>
      <c r="F167" s="21">
        <f>IF(E167="","",IF(E167&lt;TODAY(),"逾期","正常"))</f>
        <v/>
      </c>
      <c r="G167" s="21" t="n"/>
      <c r="H167" s="21" t="n"/>
    </row>
    <row r="168">
      <c r="A168" s="21" t="n"/>
      <c r="B168" s="21" t="n"/>
      <c r="C168" s="21" t="n"/>
      <c r="D168" s="18" t="n"/>
      <c r="E168" s="18">
        <f>IF(D168="","",IF(C168="每日",D168+1,IF(C168="每週",D168+7,IF(C168="每月",EDATE(D168,1),IF(C168="每季",EDATE(D168,3),IF(C168="每年",EDATE(D168,12),""))))))</f>
        <v/>
      </c>
      <c r="F168" s="21">
        <f>IF(E168="","",IF(E168&lt;TODAY(),"逾期","正常"))</f>
        <v/>
      </c>
      <c r="G168" s="21" t="n"/>
      <c r="H168" s="21" t="n"/>
    </row>
    <row r="169">
      <c r="A169" s="21" t="n"/>
      <c r="B169" s="21" t="n"/>
      <c r="C169" s="21" t="n"/>
      <c r="D169" s="18" t="n"/>
      <c r="E169" s="18">
        <f>IF(D169="","",IF(C169="每日",D169+1,IF(C169="每週",D169+7,IF(C169="每月",EDATE(D169,1),IF(C169="每季",EDATE(D169,3),IF(C169="每年",EDATE(D169,12),""))))))</f>
        <v/>
      </c>
      <c r="F169" s="21">
        <f>IF(E169="","",IF(E169&lt;TODAY(),"逾期","正常"))</f>
        <v/>
      </c>
      <c r="G169" s="21" t="n"/>
      <c r="H169" s="21" t="n"/>
    </row>
    <row r="170">
      <c r="A170" s="21" t="n"/>
      <c r="B170" s="21" t="n"/>
      <c r="C170" s="21" t="n"/>
      <c r="D170" s="18" t="n"/>
      <c r="E170" s="18">
        <f>IF(D170="","",IF(C170="每日",D170+1,IF(C170="每週",D170+7,IF(C170="每月",EDATE(D170,1),IF(C170="每季",EDATE(D170,3),IF(C170="每年",EDATE(D170,12),""))))))</f>
        <v/>
      </c>
      <c r="F170" s="21">
        <f>IF(E170="","",IF(E170&lt;TODAY(),"逾期","正常"))</f>
        <v/>
      </c>
      <c r="G170" s="21" t="n"/>
      <c r="H170" s="21" t="n"/>
    </row>
    <row r="171">
      <c r="A171" s="21" t="n"/>
      <c r="B171" s="21" t="n"/>
      <c r="C171" s="21" t="n"/>
      <c r="D171" s="18" t="n"/>
      <c r="E171" s="18">
        <f>IF(D171="","",IF(C171="每日",D171+1,IF(C171="每週",D171+7,IF(C171="每月",EDATE(D171,1),IF(C171="每季",EDATE(D171,3),IF(C171="每年",EDATE(D171,12),""))))))</f>
        <v/>
      </c>
      <c r="F171" s="21">
        <f>IF(E171="","",IF(E171&lt;TODAY(),"逾期","正常"))</f>
        <v/>
      </c>
      <c r="G171" s="21" t="n"/>
      <c r="H171" s="21" t="n"/>
    </row>
    <row r="172">
      <c r="A172" s="21" t="n"/>
      <c r="B172" s="21" t="n"/>
      <c r="C172" s="21" t="n"/>
      <c r="D172" s="18" t="n"/>
      <c r="E172" s="18">
        <f>IF(D172="","",IF(C172="每日",D172+1,IF(C172="每週",D172+7,IF(C172="每月",EDATE(D172,1),IF(C172="每季",EDATE(D172,3),IF(C172="每年",EDATE(D172,12),""))))))</f>
        <v/>
      </c>
      <c r="F172" s="21">
        <f>IF(E172="","",IF(E172&lt;TODAY(),"逾期","正常"))</f>
        <v/>
      </c>
      <c r="G172" s="21" t="n"/>
      <c r="H172" s="21" t="n"/>
    </row>
    <row r="173">
      <c r="A173" s="21" t="n"/>
      <c r="B173" s="21" t="n"/>
      <c r="C173" s="21" t="n"/>
      <c r="D173" s="18" t="n"/>
      <c r="E173" s="18">
        <f>IF(D173="","",IF(C173="每日",D173+1,IF(C173="每週",D173+7,IF(C173="每月",EDATE(D173,1),IF(C173="每季",EDATE(D173,3),IF(C173="每年",EDATE(D173,12),""))))))</f>
        <v/>
      </c>
      <c r="F173" s="21">
        <f>IF(E173="","",IF(E173&lt;TODAY(),"逾期","正常"))</f>
        <v/>
      </c>
      <c r="G173" s="21" t="n"/>
      <c r="H173" s="21" t="n"/>
    </row>
    <row r="174">
      <c r="A174" s="21" t="n"/>
      <c r="B174" s="21" t="n"/>
      <c r="C174" s="21" t="n"/>
      <c r="D174" s="18" t="n"/>
      <c r="E174" s="18">
        <f>IF(D174="","",IF(C174="每日",D174+1,IF(C174="每週",D174+7,IF(C174="每月",EDATE(D174,1),IF(C174="每季",EDATE(D174,3),IF(C174="每年",EDATE(D174,12),""))))))</f>
        <v/>
      </c>
      <c r="F174" s="21">
        <f>IF(E174="","",IF(E174&lt;TODAY(),"逾期","正常"))</f>
        <v/>
      </c>
      <c r="G174" s="21" t="n"/>
      <c r="H174" s="21" t="n"/>
    </row>
    <row r="175">
      <c r="A175" s="21" t="n"/>
      <c r="B175" s="21" t="n"/>
      <c r="C175" s="21" t="n"/>
      <c r="D175" s="18" t="n"/>
      <c r="E175" s="18">
        <f>IF(D175="","",IF(C175="每日",D175+1,IF(C175="每週",D175+7,IF(C175="每月",EDATE(D175,1),IF(C175="每季",EDATE(D175,3),IF(C175="每年",EDATE(D175,12),""))))))</f>
        <v/>
      </c>
      <c r="F175" s="21">
        <f>IF(E175="","",IF(E175&lt;TODAY(),"逾期","正常"))</f>
        <v/>
      </c>
      <c r="G175" s="21" t="n"/>
      <c r="H175" s="21" t="n"/>
    </row>
    <row r="176">
      <c r="A176" s="21" t="n"/>
      <c r="B176" s="21" t="n"/>
      <c r="C176" s="21" t="n"/>
      <c r="D176" s="18" t="n"/>
      <c r="E176" s="18">
        <f>IF(D176="","",IF(C176="每日",D176+1,IF(C176="每週",D176+7,IF(C176="每月",EDATE(D176,1),IF(C176="每季",EDATE(D176,3),IF(C176="每年",EDATE(D176,12),""))))))</f>
        <v/>
      </c>
      <c r="F176" s="21">
        <f>IF(E176="","",IF(E176&lt;TODAY(),"逾期","正常"))</f>
        <v/>
      </c>
      <c r="G176" s="21" t="n"/>
      <c r="H176" s="21" t="n"/>
    </row>
    <row r="177">
      <c r="A177" s="21" t="n"/>
      <c r="B177" s="21" t="n"/>
      <c r="C177" s="21" t="n"/>
      <c r="D177" s="18" t="n"/>
      <c r="E177" s="18">
        <f>IF(D177="","",IF(C177="每日",D177+1,IF(C177="每週",D177+7,IF(C177="每月",EDATE(D177,1),IF(C177="每季",EDATE(D177,3),IF(C177="每年",EDATE(D177,12),""))))))</f>
        <v/>
      </c>
      <c r="F177" s="21">
        <f>IF(E177="","",IF(E177&lt;TODAY(),"逾期","正常"))</f>
        <v/>
      </c>
      <c r="G177" s="21" t="n"/>
      <c r="H177" s="21" t="n"/>
    </row>
    <row r="178">
      <c r="A178" s="21" t="n"/>
      <c r="B178" s="21" t="n"/>
      <c r="C178" s="21" t="n"/>
      <c r="D178" s="18" t="n"/>
      <c r="E178" s="18">
        <f>IF(D178="","",IF(C178="每日",D178+1,IF(C178="每週",D178+7,IF(C178="每月",EDATE(D178,1),IF(C178="每季",EDATE(D178,3),IF(C178="每年",EDATE(D178,12),""))))))</f>
        <v/>
      </c>
      <c r="F178" s="21">
        <f>IF(E178="","",IF(E178&lt;TODAY(),"逾期","正常"))</f>
        <v/>
      </c>
      <c r="G178" s="21" t="n"/>
      <c r="H178" s="21" t="n"/>
    </row>
    <row r="179">
      <c r="A179" s="21" t="n"/>
      <c r="B179" s="21" t="n"/>
      <c r="C179" s="21" t="n"/>
      <c r="D179" s="18" t="n"/>
      <c r="E179" s="18">
        <f>IF(D179="","",IF(C179="每日",D179+1,IF(C179="每週",D179+7,IF(C179="每月",EDATE(D179,1),IF(C179="每季",EDATE(D179,3),IF(C179="每年",EDATE(D179,12),""))))))</f>
        <v/>
      </c>
      <c r="F179" s="21">
        <f>IF(E179="","",IF(E179&lt;TODAY(),"逾期","正常"))</f>
        <v/>
      </c>
      <c r="G179" s="21" t="n"/>
      <c r="H179" s="21" t="n"/>
    </row>
    <row r="180">
      <c r="A180" s="21" t="n"/>
      <c r="B180" s="21" t="n"/>
      <c r="C180" s="21" t="n"/>
      <c r="D180" s="18" t="n"/>
      <c r="E180" s="18">
        <f>IF(D180="","",IF(C180="每日",D180+1,IF(C180="每週",D180+7,IF(C180="每月",EDATE(D180,1),IF(C180="每季",EDATE(D180,3),IF(C180="每年",EDATE(D180,12),""))))))</f>
        <v/>
      </c>
      <c r="F180" s="21">
        <f>IF(E180="","",IF(E180&lt;TODAY(),"逾期","正常"))</f>
        <v/>
      </c>
      <c r="G180" s="21" t="n"/>
      <c r="H180" s="21" t="n"/>
    </row>
    <row r="181">
      <c r="A181" s="21" t="n"/>
      <c r="B181" s="21" t="n"/>
      <c r="C181" s="21" t="n"/>
      <c r="D181" s="18" t="n"/>
      <c r="E181" s="18">
        <f>IF(D181="","",IF(C181="每日",D181+1,IF(C181="每週",D181+7,IF(C181="每月",EDATE(D181,1),IF(C181="每季",EDATE(D181,3),IF(C181="每年",EDATE(D181,12),""))))))</f>
        <v/>
      </c>
      <c r="F181" s="21">
        <f>IF(E181="","",IF(E181&lt;TODAY(),"逾期","正常"))</f>
        <v/>
      </c>
      <c r="G181" s="21" t="n"/>
      <c r="H181" s="21" t="n"/>
    </row>
    <row r="182">
      <c r="A182" s="21" t="n"/>
      <c r="B182" s="21" t="n"/>
      <c r="C182" s="21" t="n"/>
      <c r="D182" s="18" t="n"/>
      <c r="E182" s="18">
        <f>IF(D182="","",IF(C182="每日",D182+1,IF(C182="每週",D182+7,IF(C182="每月",EDATE(D182,1),IF(C182="每季",EDATE(D182,3),IF(C182="每年",EDATE(D182,12),""))))))</f>
        <v/>
      </c>
      <c r="F182" s="21">
        <f>IF(E182="","",IF(E182&lt;TODAY(),"逾期","正常"))</f>
        <v/>
      </c>
      <c r="G182" s="21" t="n"/>
      <c r="H182" s="21" t="n"/>
    </row>
    <row r="183">
      <c r="A183" s="21" t="n"/>
      <c r="B183" s="21" t="n"/>
      <c r="C183" s="21" t="n"/>
      <c r="D183" s="18" t="n"/>
      <c r="E183" s="18">
        <f>IF(D183="","",IF(C183="每日",D183+1,IF(C183="每週",D183+7,IF(C183="每月",EDATE(D183,1),IF(C183="每季",EDATE(D183,3),IF(C183="每年",EDATE(D183,12),""))))))</f>
        <v/>
      </c>
      <c r="F183" s="21">
        <f>IF(E183="","",IF(E183&lt;TODAY(),"逾期","正常"))</f>
        <v/>
      </c>
      <c r="G183" s="21" t="n"/>
      <c r="H183" s="21" t="n"/>
    </row>
    <row r="184">
      <c r="A184" s="21" t="n"/>
      <c r="B184" s="21" t="n"/>
      <c r="C184" s="21" t="n"/>
      <c r="D184" s="18" t="n"/>
      <c r="E184" s="18">
        <f>IF(D184="","",IF(C184="每日",D184+1,IF(C184="每週",D184+7,IF(C184="每月",EDATE(D184,1),IF(C184="每季",EDATE(D184,3),IF(C184="每年",EDATE(D184,12),""))))))</f>
        <v/>
      </c>
      <c r="F184" s="21">
        <f>IF(E184="","",IF(E184&lt;TODAY(),"逾期","正常"))</f>
        <v/>
      </c>
      <c r="G184" s="21" t="n"/>
      <c r="H184" s="21" t="n"/>
    </row>
    <row r="185">
      <c r="A185" s="21" t="n"/>
      <c r="B185" s="21" t="n"/>
      <c r="C185" s="21" t="n"/>
      <c r="D185" s="18" t="n"/>
      <c r="E185" s="18">
        <f>IF(D185="","",IF(C185="每日",D185+1,IF(C185="每週",D185+7,IF(C185="每月",EDATE(D185,1),IF(C185="每季",EDATE(D185,3),IF(C185="每年",EDATE(D185,12),""))))))</f>
        <v/>
      </c>
      <c r="F185" s="21">
        <f>IF(E185="","",IF(E185&lt;TODAY(),"逾期","正常"))</f>
        <v/>
      </c>
      <c r="G185" s="21" t="n"/>
      <c r="H185" s="21" t="n"/>
    </row>
    <row r="186">
      <c r="A186" s="21" t="n"/>
      <c r="B186" s="21" t="n"/>
      <c r="C186" s="21" t="n"/>
      <c r="D186" s="18" t="n"/>
      <c r="E186" s="18">
        <f>IF(D186="","",IF(C186="每日",D186+1,IF(C186="每週",D186+7,IF(C186="每月",EDATE(D186,1),IF(C186="每季",EDATE(D186,3),IF(C186="每年",EDATE(D186,12),""))))))</f>
        <v/>
      </c>
      <c r="F186" s="21">
        <f>IF(E186="","",IF(E186&lt;TODAY(),"逾期","正常"))</f>
        <v/>
      </c>
      <c r="G186" s="21" t="n"/>
      <c r="H186" s="21" t="n"/>
    </row>
    <row r="187">
      <c r="A187" s="21" t="n"/>
      <c r="B187" s="21" t="n"/>
      <c r="C187" s="21" t="n"/>
      <c r="D187" s="18" t="n"/>
      <c r="E187" s="18">
        <f>IF(D187="","",IF(C187="每日",D187+1,IF(C187="每週",D187+7,IF(C187="每月",EDATE(D187,1),IF(C187="每季",EDATE(D187,3),IF(C187="每年",EDATE(D187,12),""))))))</f>
        <v/>
      </c>
      <c r="F187" s="21">
        <f>IF(E187="","",IF(E187&lt;TODAY(),"逾期","正常"))</f>
        <v/>
      </c>
      <c r="G187" s="21" t="n"/>
      <c r="H187" s="21" t="n"/>
    </row>
    <row r="188">
      <c r="A188" s="21" t="n"/>
      <c r="B188" s="21" t="n"/>
      <c r="C188" s="21" t="n"/>
      <c r="D188" s="18" t="n"/>
      <c r="E188" s="18">
        <f>IF(D188="","",IF(C188="每日",D188+1,IF(C188="每週",D188+7,IF(C188="每月",EDATE(D188,1),IF(C188="每季",EDATE(D188,3),IF(C188="每年",EDATE(D188,12),""))))))</f>
        <v/>
      </c>
      <c r="F188" s="21">
        <f>IF(E188="","",IF(E188&lt;TODAY(),"逾期","正常"))</f>
        <v/>
      </c>
      <c r="G188" s="21" t="n"/>
      <c r="H188" s="21" t="n"/>
    </row>
    <row r="189">
      <c r="A189" s="21" t="n"/>
      <c r="B189" s="21" t="n"/>
      <c r="C189" s="21" t="n"/>
      <c r="D189" s="18" t="n"/>
      <c r="E189" s="18">
        <f>IF(D189="","",IF(C189="每日",D189+1,IF(C189="每週",D189+7,IF(C189="每月",EDATE(D189,1),IF(C189="每季",EDATE(D189,3),IF(C189="每年",EDATE(D189,12),""))))))</f>
        <v/>
      </c>
      <c r="F189" s="21">
        <f>IF(E189="","",IF(E189&lt;TODAY(),"逾期","正常"))</f>
        <v/>
      </c>
      <c r="G189" s="21" t="n"/>
      <c r="H189" s="21" t="n"/>
    </row>
    <row r="190">
      <c r="A190" s="21" t="n"/>
      <c r="B190" s="21" t="n"/>
      <c r="C190" s="21" t="n"/>
      <c r="D190" s="18" t="n"/>
      <c r="E190" s="18">
        <f>IF(D190="","",IF(C190="每日",D190+1,IF(C190="每週",D190+7,IF(C190="每月",EDATE(D190,1),IF(C190="每季",EDATE(D190,3),IF(C190="每年",EDATE(D190,12),""))))))</f>
        <v/>
      </c>
      <c r="F190" s="21">
        <f>IF(E190="","",IF(E190&lt;TODAY(),"逾期","正常"))</f>
        <v/>
      </c>
      <c r="G190" s="21" t="n"/>
      <c r="H190" s="21" t="n"/>
    </row>
    <row r="191">
      <c r="A191" s="21" t="n"/>
      <c r="B191" s="21" t="n"/>
      <c r="C191" s="21" t="n"/>
      <c r="D191" s="18" t="n"/>
      <c r="E191" s="18">
        <f>IF(D191="","",IF(C191="每日",D191+1,IF(C191="每週",D191+7,IF(C191="每月",EDATE(D191,1),IF(C191="每季",EDATE(D191,3),IF(C191="每年",EDATE(D191,12),""))))))</f>
        <v/>
      </c>
      <c r="F191" s="21">
        <f>IF(E191="","",IF(E191&lt;TODAY(),"逾期","正常"))</f>
        <v/>
      </c>
      <c r="G191" s="21" t="n"/>
      <c r="H191" s="21" t="n"/>
    </row>
    <row r="192">
      <c r="A192" s="21" t="n"/>
      <c r="B192" s="21" t="n"/>
      <c r="C192" s="21" t="n"/>
      <c r="D192" s="18" t="n"/>
      <c r="E192" s="18">
        <f>IF(D192="","",IF(C192="每日",D192+1,IF(C192="每週",D192+7,IF(C192="每月",EDATE(D192,1),IF(C192="每季",EDATE(D192,3),IF(C192="每年",EDATE(D192,12),""))))))</f>
        <v/>
      </c>
      <c r="F192" s="21">
        <f>IF(E192="","",IF(E192&lt;TODAY(),"逾期","正常"))</f>
        <v/>
      </c>
      <c r="G192" s="21" t="n"/>
      <c r="H192" s="21" t="n"/>
    </row>
    <row r="193">
      <c r="A193" s="21" t="n"/>
      <c r="B193" s="21" t="n"/>
      <c r="C193" s="21" t="n"/>
      <c r="D193" s="18" t="n"/>
      <c r="E193" s="18">
        <f>IF(D193="","",IF(C193="每日",D193+1,IF(C193="每週",D193+7,IF(C193="每月",EDATE(D193,1),IF(C193="每季",EDATE(D193,3),IF(C193="每年",EDATE(D193,12),""))))))</f>
        <v/>
      </c>
      <c r="F193" s="21">
        <f>IF(E193="","",IF(E193&lt;TODAY(),"逾期","正常"))</f>
        <v/>
      </c>
      <c r="G193" s="21" t="n"/>
      <c r="H193" s="21" t="n"/>
    </row>
    <row r="194">
      <c r="A194" s="21" t="n"/>
      <c r="B194" s="21" t="n"/>
      <c r="C194" s="21" t="n"/>
      <c r="D194" s="18" t="n"/>
      <c r="E194" s="18">
        <f>IF(D194="","",IF(C194="每日",D194+1,IF(C194="每週",D194+7,IF(C194="每月",EDATE(D194,1),IF(C194="每季",EDATE(D194,3),IF(C194="每年",EDATE(D194,12),""))))))</f>
        <v/>
      </c>
      <c r="F194" s="21">
        <f>IF(E194="","",IF(E194&lt;TODAY(),"逾期","正常"))</f>
        <v/>
      </c>
      <c r="G194" s="21" t="n"/>
      <c r="H194" s="21" t="n"/>
    </row>
    <row r="195">
      <c r="A195" s="21" t="n"/>
      <c r="B195" s="21" t="n"/>
      <c r="C195" s="21" t="n"/>
      <c r="D195" s="18" t="n"/>
      <c r="E195" s="18">
        <f>IF(D195="","",IF(C195="每日",D195+1,IF(C195="每週",D195+7,IF(C195="每月",EDATE(D195,1),IF(C195="每季",EDATE(D195,3),IF(C195="每年",EDATE(D195,12),""))))))</f>
        <v/>
      </c>
      <c r="F195" s="21">
        <f>IF(E195="","",IF(E195&lt;TODAY(),"逾期","正常"))</f>
        <v/>
      </c>
      <c r="G195" s="21" t="n"/>
      <c r="H195" s="21" t="n"/>
    </row>
    <row r="196">
      <c r="A196" s="21" t="n"/>
      <c r="B196" s="21" t="n"/>
      <c r="C196" s="21" t="n"/>
      <c r="D196" s="18" t="n"/>
      <c r="E196" s="18">
        <f>IF(D196="","",IF(C196="每日",D196+1,IF(C196="每週",D196+7,IF(C196="每月",EDATE(D196,1),IF(C196="每季",EDATE(D196,3),IF(C196="每年",EDATE(D196,12),""))))))</f>
        <v/>
      </c>
      <c r="F196" s="21">
        <f>IF(E196="","",IF(E196&lt;TODAY(),"逾期","正常"))</f>
        <v/>
      </c>
      <c r="G196" s="21" t="n"/>
      <c r="H196" s="21" t="n"/>
    </row>
    <row r="197">
      <c r="A197" s="21" t="n"/>
      <c r="B197" s="21" t="n"/>
      <c r="C197" s="21" t="n"/>
      <c r="D197" s="18" t="n"/>
      <c r="E197" s="18">
        <f>IF(D197="","",IF(C197="每日",D197+1,IF(C197="每週",D197+7,IF(C197="每月",EDATE(D197,1),IF(C197="每季",EDATE(D197,3),IF(C197="每年",EDATE(D197,12),""))))))</f>
        <v/>
      </c>
      <c r="F197" s="21">
        <f>IF(E197="","",IF(E197&lt;TODAY(),"逾期","正常"))</f>
        <v/>
      </c>
      <c r="G197" s="21" t="n"/>
      <c r="H197" s="21" t="n"/>
    </row>
    <row r="198">
      <c r="A198" s="21" t="n"/>
      <c r="B198" s="21" t="n"/>
      <c r="C198" s="21" t="n"/>
      <c r="D198" s="18" t="n"/>
      <c r="E198" s="18">
        <f>IF(D198="","",IF(C198="每日",D198+1,IF(C198="每週",D198+7,IF(C198="每月",EDATE(D198,1),IF(C198="每季",EDATE(D198,3),IF(C198="每年",EDATE(D198,12),""))))))</f>
        <v/>
      </c>
      <c r="F198" s="21">
        <f>IF(E198="","",IF(E198&lt;TODAY(),"逾期","正常"))</f>
        <v/>
      </c>
      <c r="G198" s="21" t="n"/>
      <c r="H198" s="21" t="n"/>
    </row>
    <row r="199">
      <c r="A199" s="21" t="n"/>
      <c r="B199" s="21" t="n"/>
      <c r="C199" s="21" t="n"/>
      <c r="D199" s="18" t="n"/>
      <c r="E199" s="18">
        <f>IF(D199="","",IF(C199="每日",D199+1,IF(C199="每週",D199+7,IF(C199="每月",EDATE(D199,1),IF(C199="每季",EDATE(D199,3),IF(C199="每年",EDATE(D199,12),""))))))</f>
        <v/>
      </c>
      <c r="F199" s="21">
        <f>IF(E199="","",IF(E199&lt;TODAY(),"逾期","正常"))</f>
        <v/>
      </c>
      <c r="G199" s="21" t="n"/>
      <c r="H199" s="21" t="n"/>
    </row>
    <row r="200">
      <c r="A200" s="21" t="n"/>
      <c r="B200" s="21" t="n"/>
      <c r="C200" s="21" t="n"/>
      <c r="D200" s="18" t="n"/>
      <c r="E200" s="18">
        <f>IF(D200="","",IF(C200="每日",D200+1,IF(C200="每週",D200+7,IF(C200="每月",EDATE(D200,1),IF(C200="每季",EDATE(D200,3),IF(C200="每年",EDATE(D200,12),""))))))</f>
        <v/>
      </c>
      <c r="F200" s="21">
        <f>IF(E200="","",IF(E200&lt;TODAY(),"逾期","正常"))</f>
        <v/>
      </c>
      <c r="G200" s="21" t="n"/>
      <c r="H200" s="21" t="n"/>
    </row>
    <row r="201">
      <c r="A201" s="21" t="n"/>
      <c r="B201" s="21" t="n"/>
      <c r="C201" s="21" t="n"/>
      <c r="D201" s="18" t="n"/>
      <c r="E201" s="18">
        <f>IF(D201="","",IF(C201="每日",D201+1,IF(C201="每週",D201+7,IF(C201="每月",EDATE(D201,1),IF(C201="每季",EDATE(D201,3),IF(C201="每年",EDATE(D201,12),""))))))</f>
        <v/>
      </c>
      <c r="F201" s="21">
        <f>IF(E201="","",IF(E201&lt;TODAY(),"逾期","正常"))</f>
        <v/>
      </c>
      <c r="G201" s="21" t="n"/>
      <c r="H201" s="21" t="n"/>
    </row>
    <row r="202">
      <c r="A202" s="21" t="n"/>
      <c r="B202" s="21" t="n"/>
      <c r="C202" s="21" t="n"/>
      <c r="D202" s="18" t="n"/>
      <c r="E202" s="18">
        <f>IF(D202="","",IF(C202="每日",D202+1,IF(C202="每週",D202+7,IF(C202="每月",EDATE(D202,1),IF(C202="每季",EDATE(D202,3),IF(C202="每年",EDATE(D202,12),""))))))</f>
        <v/>
      </c>
      <c r="F202" s="21">
        <f>IF(E202="","",IF(E202&lt;TODAY(),"逾期","正常"))</f>
        <v/>
      </c>
      <c r="G202" s="21" t="n"/>
      <c r="H202" s="21" t="n"/>
    </row>
    <row r="203">
      <c r="A203" s="21" t="n"/>
      <c r="B203" s="21" t="n"/>
      <c r="C203" s="21" t="n"/>
      <c r="D203" s="18" t="n"/>
      <c r="E203" s="18">
        <f>IF(D203="","",IF(C203="每日",D203+1,IF(C203="每週",D203+7,IF(C203="每月",EDATE(D203,1),IF(C203="每季",EDATE(D203,3),IF(C203="每年",EDATE(D203,12),""))))))</f>
        <v/>
      </c>
      <c r="F203" s="21">
        <f>IF(E203="","",IF(E203&lt;TODAY(),"逾期","正常"))</f>
        <v/>
      </c>
      <c r="G203" s="21" t="n"/>
      <c r="H203" s="21" t="n"/>
    </row>
    <row r="204">
      <c r="A204" s="21" t="n"/>
      <c r="B204" s="21" t="n"/>
      <c r="C204" s="21" t="n"/>
      <c r="D204" s="18" t="n"/>
      <c r="E204" s="18">
        <f>IF(D204="","",IF(C204="每日",D204+1,IF(C204="每週",D204+7,IF(C204="每月",EDATE(D204,1),IF(C204="每季",EDATE(D204,3),IF(C204="每年",EDATE(D204,12),""))))))</f>
        <v/>
      </c>
      <c r="F204" s="21">
        <f>IF(E204="","",IF(E204&lt;TODAY(),"逾期","正常"))</f>
        <v/>
      </c>
      <c r="G204" s="21" t="n"/>
      <c r="H204" s="21" t="n"/>
    </row>
    <row r="205">
      <c r="A205" s="21" t="n"/>
      <c r="B205" s="21" t="n"/>
      <c r="C205" s="21" t="n"/>
      <c r="D205" s="18" t="n"/>
      <c r="E205" s="18">
        <f>IF(D205="","",IF(C205="每日",D205+1,IF(C205="每週",D205+7,IF(C205="每月",EDATE(D205,1),IF(C205="每季",EDATE(D205,3),IF(C205="每年",EDATE(D205,12),""))))))</f>
        <v/>
      </c>
      <c r="F205" s="21">
        <f>IF(E205="","",IF(E205&lt;TODAY(),"逾期","正常"))</f>
        <v/>
      </c>
      <c r="G205" s="21" t="n"/>
      <c r="H205" s="21" t="n"/>
    </row>
    <row r="206">
      <c r="A206" s="21" t="n"/>
      <c r="B206" s="21" t="n"/>
      <c r="C206" s="21" t="n"/>
      <c r="D206" s="18" t="n"/>
      <c r="E206" s="18">
        <f>IF(D206="","",IF(C206="每日",D206+1,IF(C206="每週",D206+7,IF(C206="每月",EDATE(D206,1),IF(C206="每季",EDATE(D206,3),IF(C206="每年",EDATE(D206,12),""))))))</f>
        <v/>
      </c>
      <c r="F206" s="21">
        <f>IF(E206="","",IF(E206&lt;TODAY(),"逾期","正常"))</f>
        <v/>
      </c>
      <c r="G206" s="21" t="n"/>
      <c r="H206" s="21" t="n"/>
    </row>
    <row r="207">
      <c r="A207" s="21" t="n"/>
      <c r="B207" s="21" t="n"/>
      <c r="C207" s="21" t="n"/>
      <c r="D207" s="18" t="n"/>
      <c r="E207" s="18">
        <f>IF(D207="","",IF(C207="每日",D207+1,IF(C207="每週",D207+7,IF(C207="每月",EDATE(D207,1),IF(C207="每季",EDATE(D207,3),IF(C207="每年",EDATE(D207,12),""))))))</f>
        <v/>
      </c>
      <c r="F207" s="21">
        <f>IF(E207="","",IF(E207&lt;TODAY(),"逾期","正常"))</f>
        <v/>
      </c>
      <c r="G207" s="21" t="n"/>
      <c r="H207" s="21" t="n"/>
    </row>
    <row r="208">
      <c r="A208" s="21" t="n"/>
      <c r="B208" s="21" t="n"/>
      <c r="C208" s="21" t="n"/>
      <c r="D208" s="18" t="n"/>
      <c r="E208" s="18">
        <f>IF(D208="","",IF(C208="每日",D208+1,IF(C208="每週",D208+7,IF(C208="每月",EDATE(D208,1),IF(C208="每季",EDATE(D208,3),IF(C208="每年",EDATE(D208,12),""))))))</f>
        <v/>
      </c>
      <c r="F208" s="21">
        <f>IF(E208="","",IF(E208&lt;TODAY(),"逾期","正常"))</f>
        <v/>
      </c>
      <c r="G208" s="21" t="n"/>
      <c r="H208" s="21" t="n"/>
    </row>
    <row r="209">
      <c r="A209" s="21" t="n"/>
      <c r="B209" s="21" t="n"/>
      <c r="C209" s="21" t="n"/>
      <c r="D209" s="18" t="n"/>
      <c r="E209" s="18">
        <f>IF(D209="","",IF(C209="每日",D209+1,IF(C209="每週",D209+7,IF(C209="每月",EDATE(D209,1),IF(C209="每季",EDATE(D209,3),IF(C209="每年",EDATE(D209,12),""))))))</f>
        <v/>
      </c>
      <c r="F209" s="21">
        <f>IF(E209="","",IF(E209&lt;TODAY(),"逾期","正常"))</f>
        <v/>
      </c>
      <c r="G209" s="21" t="n"/>
      <c r="H209" s="21" t="n"/>
    </row>
    <row r="210">
      <c r="A210" s="21" t="n"/>
      <c r="B210" s="21" t="n"/>
      <c r="C210" s="21" t="n"/>
      <c r="D210" s="18" t="n"/>
      <c r="E210" s="18">
        <f>IF(D210="","",IF(C210="每日",D210+1,IF(C210="每週",D210+7,IF(C210="每月",EDATE(D210,1),IF(C210="每季",EDATE(D210,3),IF(C210="每年",EDATE(D210,12),""))))))</f>
        <v/>
      </c>
      <c r="F210" s="21">
        <f>IF(E210="","",IF(E210&lt;TODAY(),"逾期","正常"))</f>
        <v/>
      </c>
      <c r="G210" s="21" t="n"/>
      <c r="H210" s="21" t="n"/>
    </row>
    <row r="211">
      <c r="A211" s="21" t="n"/>
      <c r="B211" s="21" t="n"/>
      <c r="C211" s="21" t="n"/>
      <c r="D211" s="18" t="n"/>
      <c r="E211" s="18">
        <f>IF(D211="","",IF(C211="每日",D211+1,IF(C211="每週",D211+7,IF(C211="每月",EDATE(D211,1),IF(C211="每季",EDATE(D211,3),IF(C211="每年",EDATE(D211,12),""))))))</f>
        <v/>
      </c>
      <c r="F211" s="21">
        <f>IF(E211="","",IF(E211&lt;TODAY(),"逾期","正常"))</f>
        <v/>
      </c>
      <c r="G211" s="21" t="n"/>
      <c r="H211" s="21" t="n"/>
    </row>
    <row r="212">
      <c r="A212" s="21" t="n"/>
      <c r="B212" s="21" t="n"/>
      <c r="C212" s="21" t="n"/>
      <c r="D212" s="18" t="n"/>
      <c r="E212" s="18">
        <f>IF(D212="","",IF(C212="每日",D212+1,IF(C212="每週",D212+7,IF(C212="每月",EDATE(D212,1),IF(C212="每季",EDATE(D212,3),IF(C212="每年",EDATE(D212,12),""))))))</f>
        <v/>
      </c>
      <c r="F212" s="21">
        <f>IF(E212="","",IF(E212&lt;TODAY(),"逾期","正常"))</f>
        <v/>
      </c>
      <c r="G212" s="21" t="n"/>
      <c r="H212" s="21" t="n"/>
    </row>
    <row r="213">
      <c r="A213" s="21" t="n"/>
      <c r="B213" s="21" t="n"/>
      <c r="C213" s="21" t="n"/>
      <c r="D213" s="18" t="n"/>
      <c r="E213" s="18">
        <f>IF(D213="","",IF(C213="每日",D213+1,IF(C213="每週",D213+7,IF(C213="每月",EDATE(D213,1),IF(C213="每季",EDATE(D213,3),IF(C213="每年",EDATE(D213,12),""))))))</f>
        <v/>
      </c>
      <c r="F213" s="21">
        <f>IF(E213="","",IF(E213&lt;TODAY(),"逾期","正常"))</f>
        <v/>
      </c>
      <c r="G213" s="21" t="n"/>
      <c r="H213" s="21" t="n"/>
    </row>
    <row r="214">
      <c r="A214" s="21" t="n"/>
      <c r="B214" s="21" t="n"/>
      <c r="C214" s="21" t="n"/>
      <c r="D214" s="18" t="n"/>
      <c r="E214" s="18">
        <f>IF(D214="","",IF(C214="每日",D214+1,IF(C214="每週",D214+7,IF(C214="每月",EDATE(D214,1),IF(C214="每季",EDATE(D214,3),IF(C214="每年",EDATE(D214,12),""))))))</f>
        <v/>
      </c>
      <c r="F214" s="21">
        <f>IF(E214="","",IF(E214&lt;TODAY(),"逾期","正常"))</f>
        <v/>
      </c>
      <c r="G214" s="21" t="n"/>
      <c r="H214" s="21" t="n"/>
    </row>
    <row r="215">
      <c r="A215" s="21" t="n"/>
      <c r="B215" s="21" t="n"/>
      <c r="C215" s="21" t="n"/>
      <c r="D215" s="18" t="n"/>
      <c r="E215" s="18">
        <f>IF(D215="","",IF(C215="每日",D215+1,IF(C215="每週",D215+7,IF(C215="每月",EDATE(D215,1),IF(C215="每季",EDATE(D215,3),IF(C215="每年",EDATE(D215,12),""))))))</f>
        <v/>
      </c>
      <c r="F215" s="21">
        <f>IF(E215="","",IF(E215&lt;TODAY(),"逾期","正常"))</f>
        <v/>
      </c>
      <c r="G215" s="21" t="n"/>
      <c r="H215" s="21" t="n"/>
    </row>
    <row r="216">
      <c r="A216" s="21" t="n"/>
      <c r="B216" s="21" t="n"/>
      <c r="C216" s="21" t="n"/>
      <c r="D216" s="18" t="n"/>
      <c r="E216" s="18">
        <f>IF(D216="","",IF(C216="每日",D216+1,IF(C216="每週",D216+7,IF(C216="每月",EDATE(D216,1),IF(C216="每季",EDATE(D216,3),IF(C216="每年",EDATE(D216,12),""))))))</f>
        <v/>
      </c>
      <c r="F216" s="21">
        <f>IF(E216="","",IF(E216&lt;TODAY(),"逾期","正常"))</f>
        <v/>
      </c>
      <c r="G216" s="21" t="n"/>
      <c r="H216" s="21" t="n"/>
    </row>
    <row r="217">
      <c r="A217" s="21" t="n"/>
      <c r="B217" s="21" t="n"/>
      <c r="C217" s="21" t="n"/>
      <c r="D217" s="18" t="n"/>
      <c r="E217" s="18">
        <f>IF(D217="","",IF(C217="每日",D217+1,IF(C217="每週",D217+7,IF(C217="每月",EDATE(D217,1),IF(C217="每季",EDATE(D217,3),IF(C217="每年",EDATE(D217,12),""))))))</f>
        <v/>
      </c>
      <c r="F217" s="21">
        <f>IF(E217="","",IF(E217&lt;TODAY(),"逾期","正常"))</f>
        <v/>
      </c>
      <c r="G217" s="21" t="n"/>
      <c r="H217" s="21" t="n"/>
    </row>
    <row r="218">
      <c r="A218" s="21" t="n"/>
      <c r="B218" s="21" t="n"/>
      <c r="C218" s="21" t="n"/>
      <c r="D218" s="18" t="n"/>
      <c r="E218" s="18">
        <f>IF(D218="","",IF(C218="每日",D218+1,IF(C218="每週",D218+7,IF(C218="每月",EDATE(D218,1),IF(C218="每季",EDATE(D218,3),IF(C218="每年",EDATE(D218,12),""))))))</f>
        <v/>
      </c>
      <c r="F218" s="21">
        <f>IF(E218="","",IF(E218&lt;TODAY(),"逾期","正常"))</f>
        <v/>
      </c>
      <c r="G218" s="21" t="n"/>
      <c r="H218" s="21" t="n"/>
    </row>
    <row r="219">
      <c r="A219" s="21" t="n"/>
      <c r="B219" s="21" t="n"/>
      <c r="C219" s="21" t="n"/>
      <c r="D219" s="18" t="n"/>
      <c r="E219" s="18">
        <f>IF(D219="","",IF(C219="每日",D219+1,IF(C219="每週",D219+7,IF(C219="每月",EDATE(D219,1),IF(C219="每季",EDATE(D219,3),IF(C219="每年",EDATE(D219,12),""))))))</f>
        <v/>
      </c>
      <c r="F219" s="21">
        <f>IF(E219="","",IF(E219&lt;TODAY(),"逾期","正常"))</f>
        <v/>
      </c>
      <c r="G219" s="21" t="n"/>
      <c r="H219" s="21" t="n"/>
    </row>
    <row r="220">
      <c r="A220" s="21" t="n"/>
      <c r="B220" s="21" t="n"/>
      <c r="C220" s="21" t="n"/>
      <c r="D220" s="18" t="n"/>
      <c r="E220" s="18">
        <f>IF(D220="","",IF(C220="每日",D220+1,IF(C220="每週",D220+7,IF(C220="每月",EDATE(D220,1),IF(C220="每季",EDATE(D220,3),IF(C220="每年",EDATE(D220,12),""))))))</f>
        <v/>
      </c>
      <c r="F220" s="21">
        <f>IF(E220="","",IF(E220&lt;TODAY(),"逾期","正常"))</f>
        <v/>
      </c>
      <c r="G220" s="21" t="n"/>
      <c r="H220" s="21" t="n"/>
    </row>
    <row r="221">
      <c r="A221" s="21" t="n"/>
      <c r="B221" s="21" t="n"/>
      <c r="C221" s="21" t="n"/>
      <c r="D221" s="18" t="n"/>
      <c r="E221" s="18">
        <f>IF(D221="","",IF(C221="每日",D221+1,IF(C221="每週",D221+7,IF(C221="每月",EDATE(D221,1),IF(C221="每季",EDATE(D221,3),IF(C221="每年",EDATE(D221,12),""))))))</f>
        <v/>
      </c>
      <c r="F221" s="21">
        <f>IF(E221="","",IF(E221&lt;TODAY(),"逾期","正常"))</f>
        <v/>
      </c>
      <c r="G221" s="21" t="n"/>
      <c r="H221" s="21" t="n"/>
    </row>
    <row r="222">
      <c r="A222" s="21" t="n"/>
      <c r="B222" s="21" t="n"/>
      <c r="C222" s="21" t="n"/>
      <c r="D222" s="18" t="n"/>
      <c r="E222" s="18">
        <f>IF(D222="","",IF(C222="每日",D222+1,IF(C222="每週",D222+7,IF(C222="每月",EDATE(D222,1),IF(C222="每季",EDATE(D222,3),IF(C222="每年",EDATE(D222,12),""))))))</f>
        <v/>
      </c>
      <c r="F222" s="21">
        <f>IF(E222="","",IF(E222&lt;TODAY(),"逾期","正常"))</f>
        <v/>
      </c>
      <c r="G222" s="21" t="n"/>
      <c r="H222" s="21" t="n"/>
    </row>
    <row r="223">
      <c r="A223" s="21" t="n"/>
      <c r="B223" s="21" t="n"/>
      <c r="C223" s="21" t="n"/>
      <c r="D223" s="18" t="n"/>
      <c r="E223" s="18">
        <f>IF(D223="","",IF(C223="每日",D223+1,IF(C223="每週",D223+7,IF(C223="每月",EDATE(D223,1),IF(C223="每季",EDATE(D223,3),IF(C223="每年",EDATE(D223,12),""))))))</f>
        <v/>
      </c>
      <c r="F223" s="21">
        <f>IF(E223="","",IF(E223&lt;TODAY(),"逾期","正常"))</f>
        <v/>
      </c>
      <c r="G223" s="21" t="n"/>
      <c r="H223" s="21" t="n"/>
    </row>
    <row r="224">
      <c r="A224" s="21" t="n"/>
      <c r="B224" s="21" t="n"/>
      <c r="C224" s="21" t="n"/>
      <c r="D224" s="18" t="n"/>
      <c r="E224" s="18">
        <f>IF(D224="","",IF(C224="每日",D224+1,IF(C224="每週",D224+7,IF(C224="每月",EDATE(D224,1),IF(C224="每季",EDATE(D224,3),IF(C224="每年",EDATE(D224,12),""))))))</f>
        <v/>
      </c>
      <c r="F224" s="21">
        <f>IF(E224="","",IF(E224&lt;TODAY(),"逾期","正常"))</f>
        <v/>
      </c>
      <c r="G224" s="21" t="n"/>
      <c r="H224" s="21" t="n"/>
    </row>
    <row r="225">
      <c r="A225" s="21" t="n"/>
      <c r="B225" s="21" t="n"/>
      <c r="C225" s="21" t="n"/>
      <c r="D225" s="18" t="n"/>
      <c r="E225" s="18">
        <f>IF(D225="","",IF(C225="每日",D225+1,IF(C225="每週",D225+7,IF(C225="每月",EDATE(D225,1),IF(C225="每季",EDATE(D225,3),IF(C225="每年",EDATE(D225,12),""))))))</f>
        <v/>
      </c>
      <c r="F225" s="21">
        <f>IF(E225="","",IF(E225&lt;TODAY(),"逾期","正常"))</f>
        <v/>
      </c>
      <c r="G225" s="21" t="n"/>
      <c r="H225" s="21" t="n"/>
    </row>
    <row r="226">
      <c r="A226" s="21" t="n"/>
      <c r="B226" s="21" t="n"/>
      <c r="C226" s="21" t="n"/>
      <c r="D226" s="18" t="n"/>
      <c r="E226" s="18">
        <f>IF(D226="","",IF(C226="每日",D226+1,IF(C226="每週",D226+7,IF(C226="每月",EDATE(D226,1),IF(C226="每季",EDATE(D226,3),IF(C226="每年",EDATE(D226,12),""))))))</f>
        <v/>
      </c>
      <c r="F226" s="21">
        <f>IF(E226="","",IF(E226&lt;TODAY(),"逾期","正常"))</f>
        <v/>
      </c>
      <c r="G226" s="21" t="n"/>
      <c r="H226" s="21" t="n"/>
    </row>
    <row r="227">
      <c r="A227" s="21" t="n"/>
      <c r="B227" s="21" t="n"/>
      <c r="C227" s="21" t="n"/>
      <c r="D227" s="18" t="n"/>
      <c r="E227" s="18">
        <f>IF(D227="","",IF(C227="每日",D227+1,IF(C227="每週",D227+7,IF(C227="每月",EDATE(D227,1),IF(C227="每季",EDATE(D227,3),IF(C227="每年",EDATE(D227,12),""))))))</f>
        <v/>
      </c>
      <c r="F227" s="21">
        <f>IF(E227="","",IF(E227&lt;TODAY(),"逾期","正常"))</f>
        <v/>
      </c>
      <c r="G227" s="21" t="n"/>
      <c r="H227" s="21" t="n"/>
    </row>
    <row r="228">
      <c r="A228" s="21" t="n"/>
      <c r="B228" s="21" t="n"/>
      <c r="C228" s="21" t="n"/>
      <c r="D228" s="18" t="n"/>
      <c r="E228" s="18">
        <f>IF(D228="","",IF(C228="每日",D228+1,IF(C228="每週",D228+7,IF(C228="每月",EDATE(D228,1),IF(C228="每季",EDATE(D228,3),IF(C228="每年",EDATE(D228,12),""))))))</f>
        <v/>
      </c>
      <c r="F228" s="21">
        <f>IF(E228="","",IF(E228&lt;TODAY(),"逾期","正常"))</f>
        <v/>
      </c>
      <c r="G228" s="21" t="n"/>
      <c r="H228" s="21" t="n"/>
    </row>
    <row r="229">
      <c r="A229" s="21" t="n"/>
      <c r="B229" s="21" t="n"/>
      <c r="C229" s="21" t="n"/>
      <c r="D229" s="18" t="n"/>
      <c r="E229" s="18">
        <f>IF(D229="","",IF(C229="每日",D229+1,IF(C229="每週",D229+7,IF(C229="每月",EDATE(D229,1),IF(C229="每季",EDATE(D229,3),IF(C229="每年",EDATE(D229,12),""))))))</f>
        <v/>
      </c>
      <c r="F229" s="21">
        <f>IF(E229="","",IF(E229&lt;TODAY(),"逾期","正常"))</f>
        <v/>
      </c>
      <c r="G229" s="21" t="n"/>
      <c r="H229" s="21" t="n"/>
    </row>
    <row r="230">
      <c r="A230" s="21" t="n"/>
      <c r="B230" s="21" t="n"/>
      <c r="C230" s="21" t="n"/>
      <c r="D230" s="18" t="n"/>
      <c r="E230" s="18">
        <f>IF(D230="","",IF(C230="每日",D230+1,IF(C230="每週",D230+7,IF(C230="每月",EDATE(D230,1),IF(C230="每季",EDATE(D230,3),IF(C230="每年",EDATE(D230,12),""))))))</f>
        <v/>
      </c>
      <c r="F230" s="21">
        <f>IF(E230="","",IF(E230&lt;TODAY(),"逾期","正常"))</f>
        <v/>
      </c>
      <c r="G230" s="21" t="n"/>
      <c r="H230" s="21" t="n"/>
    </row>
    <row r="231">
      <c r="A231" s="21" t="n"/>
      <c r="B231" s="21" t="n"/>
      <c r="C231" s="21" t="n"/>
      <c r="D231" s="18" t="n"/>
      <c r="E231" s="18">
        <f>IF(D231="","",IF(C231="每日",D231+1,IF(C231="每週",D231+7,IF(C231="每月",EDATE(D231,1),IF(C231="每季",EDATE(D231,3),IF(C231="每年",EDATE(D231,12),""))))))</f>
        <v/>
      </c>
      <c r="F231" s="21">
        <f>IF(E231="","",IF(E231&lt;TODAY(),"逾期","正常"))</f>
        <v/>
      </c>
      <c r="G231" s="21" t="n"/>
      <c r="H231" s="21" t="n"/>
    </row>
    <row r="232">
      <c r="A232" s="21" t="n"/>
      <c r="B232" s="21" t="n"/>
      <c r="C232" s="21" t="n"/>
      <c r="D232" s="18" t="n"/>
      <c r="E232" s="18">
        <f>IF(D232="","",IF(C232="每日",D232+1,IF(C232="每週",D232+7,IF(C232="每月",EDATE(D232,1),IF(C232="每季",EDATE(D232,3),IF(C232="每年",EDATE(D232,12),""))))))</f>
        <v/>
      </c>
      <c r="F232" s="21">
        <f>IF(E232="","",IF(E232&lt;TODAY(),"逾期","正常"))</f>
        <v/>
      </c>
      <c r="G232" s="21" t="n"/>
      <c r="H232" s="21" t="n"/>
    </row>
    <row r="233">
      <c r="A233" s="21" t="n"/>
      <c r="B233" s="21" t="n"/>
      <c r="C233" s="21" t="n"/>
      <c r="D233" s="18" t="n"/>
      <c r="E233" s="18">
        <f>IF(D233="","",IF(C233="每日",D233+1,IF(C233="每週",D233+7,IF(C233="每月",EDATE(D233,1),IF(C233="每季",EDATE(D233,3),IF(C233="每年",EDATE(D233,12),""))))))</f>
        <v/>
      </c>
      <c r="F233" s="21">
        <f>IF(E233="","",IF(E233&lt;TODAY(),"逾期","正常"))</f>
        <v/>
      </c>
      <c r="G233" s="21" t="n"/>
      <c r="H233" s="21" t="n"/>
    </row>
    <row r="234">
      <c r="A234" s="21" t="n"/>
      <c r="B234" s="21" t="n"/>
      <c r="C234" s="21" t="n"/>
      <c r="D234" s="18" t="n"/>
      <c r="E234" s="18">
        <f>IF(D234="","",IF(C234="每日",D234+1,IF(C234="每週",D234+7,IF(C234="每月",EDATE(D234,1),IF(C234="每季",EDATE(D234,3),IF(C234="每年",EDATE(D234,12),""))))))</f>
        <v/>
      </c>
      <c r="F234" s="21">
        <f>IF(E234="","",IF(E234&lt;TODAY(),"逾期","正常"))</f>
        <v/>
      </c>
      <c r="G234" s="21" t="n"/>
      <c r="H234" s="21" t="n"/>
    </row>
    <row r="235">
      <c r="A235" s="21" t="n"/>
      <c r="B235" s="21" t="n"/>
      <c r="C235" s="21" t="n"/>
      <c r="D235" s="18" t="n"/>
      <c r="E235" s="18">
        <f>IF(D235="","",IF(C235="每日",D235+1,IF(C235="每週",D235+7,IF(C235="每月",EDATE(D235,1),IF(C235="每季",EDATE(D235,3),IF(C235="每年",EDATE(D235,12),""))))))</f>
        <v/>
      </c>
      <c r="F235" s="21">
        <f>IF(E235="","",IF(E235&lt;TODAY(),"逾期","正常"))</f>
        <v/>
      </c>
      <c r="G235" s="21" t="n"/>
      <c r="H235" s="21" t="n"/>
    </row>
    <row r="236">
      <c r="A236" s="21" t="n"/>
      <c r="B236" s="21" t="n"/>
      <c r="C236" s="21" t="n"/>
      <c r="D236" s="18" t="n"/>
      <c r="E236" s="18">
        <f>IF(D236="","",IF(C236="每日",D236+1,IF(C236="每週",D236+7,IF(C236="每月",EDATE(D236,1),IF(C236="每季",EDATE(D236,3),IF(C236="每年",EDATE(D236,12),""))))))</f>
        <v/>
      </c>
      <c r="F236" s="21">
        <f>IF(E236="","",IF(E236&lt;TODAY(),"逾期","正常"))</f>
        <v/>
      </c>
      <c r="G236" s="21" t="n"/>
      <c r="H236" s="21" t="n"/>
    </row>
    <row r="237">
      <c r="A237" s="21" t="n"/>
      <c r="B237" s="21" t="n"/>
      <c r="C237" s="21" t="n"/>
      <c r="D237" s="18" t="n"/>
      <c r="E237" s="18">
        <f>IF(D237="","",IF(C237="每日",D237+1,IF(C237="每週",D237+7,IF(C237="每月",EDATE(D237,1),IF(C237="每季",EDATE(D237,3),IF(C237="每年",EDATE(D237,12),""))))))</f>
        <v/>
      </c>
      <c r="F237" s="21">
        <f>IF(E237="","",IF(E237&lt;TODAY(),"逾期","正常"))</f>
        <v/>
      </c>
      <c r="G237" s="21" t="n"/>
      <c r="H237" s="21" t="n"/>
    </row>
    <row r="238">
      <c r="A238" s="21" t="n"/>
      <c r="B238" s="21" t="n"/>
      <c r="C238" s="21" t="n"/>
      <c r="D238" s="18" t="n"/>
      <c r="E238" s="18">
        <f>IF(D238="","",IF(C238="每日",D238+1,IF(C238="每週",D238+7,IF(C238="每月",EDATE(D238,1),IF(C238="每季",EDATE(D238,3),IF(C238="每年",EDATE(D238,12),""))))))</f>
        <v/>
      </c>
      <c r="F238" s="21">
        <f>IF(E238="","",IF(E238&lt;TODAY(),"逾期","正常"))</f>
        <v/>
      </c>
      <c r="G238" s="21" t="n"/>
      <c r="H238" s="21" t="n"/>
    </row>
    <row r="239">
      <c r="A239" s="21" t="n"/>
      <c r="B239" s="21" t="n"/>
      <c r="C239" s="21" t="n"/>
      <c r="D239" s="18" t="n"/>
      <c r="E239" s="18">
        <f>IF(D239="","",IF(C239="每日",D239+1,IF(C239="每週",D239+7,IF(C239="每月",EDATE(D239,1),IF(C239="每季",EDATE(D239,3),IF(C239="每年",EDATE(D239,12),""))))))</f>
        <v/>
      </c>
      <c r="F239" s="21">
        <f>IF(E239="","",IF(E239&lt;TODAY(),"逾期","正常"))</f>
        <v/>
      </c>
      <c r="G239" s="21" t="n"/>
      <c r="H239" s="21" t="n"/>
    </row>
    <row r="240">
      <c r="A240" s="21" t="n"/>
      <c r="B240" s="21" t="n"/>
      <c r="C240" s="21" t="n"/>
      <c r="D240" s="18" t="n"/>
      <c r="E240" s="18">
        <f>IF(D240="","",IF(C240="每日",D240+1,IF(C240="每週",D240+7,IF(C240="每月",EDATE(D240,1),IF(C240="每季",EDATE(D240,3),IF(C240="每年",EDATE(D240,12),""))))))</f>
        <v/>
      </c>
      <c r="F240" s="21">
        <f>IF(E240="","",IF(E240&lt;TODAY(),"逾期","正常"))</f>
        <v/>
      </c>
      <c r="G240" s="21" t="n"/>
      <c r="H240" s="21" t="n"/>
    </row>
    <row r="241">
      <c r="A241" s="21" t="n"/>
      <c r="B241" s="21" t="n"/>
      <c r="C241" s="21" t="n"/>
      <c r="D241" s="18" t="n"/>
      <c r="E241" s="18">
        <f>IF(D241="","",IF(C241="每日",D241+1,IF(C241="每週",D241+7,IF(C241="每月",EDATE(D241,1),IF(C241="每季",EDATE(D241,3),IF(C241="每年",EDATE(D241,12),""))))))</f>
        <v/>
      </c>
      <c r="F241" s="21">
        <f>IF(E241="","",IF(E241&lt;TODAY(),"逾期","正常"))</f>
        <v/>
      </c>
      <c r="G241" s="21" t="n"/>
      <c r="H241" s="21" t="n"/>
    </row>
    <row r="242">
      <c r="A242" s="21" t="n"/>
      <c r="B242" s="21" t="n"/>
      <c r="C242" s="21" t="n"/>
      <c r="D242" s="18" t="n"/>
      <c r="E242" s="18">
        <f>IF(D242="","",IF(C242="每日",D242+1,IF(C242="每週",D242+7,IF(C242="每月",EDATE(D242,1),IF(C242="每季",EDATE(D242,3),IF(C242="每年",EDATE(D242,12),""))))))</f>
        <v/>
      </c>
      <c r="F242" s="21">
        <f>IF(E242="","",IF(E242&lt;TODAY(),"逾期","正常"))</f>
        <v/>
      </c>
      <c r="G242" s="21" t="n"/>
      <c r="H242" s="21" t="n"/>
    </row>
    <row r="243">
      <c r="A243" s="21" t="n"/>
      <c r="B243" s="21" t="n"/>
      <c r="C243" s="21" t="n"/>
      <c r="D243" s="18" t="n"/>
      <c r="E243" s="18">
        <f>IF(D243="","",IF(C243="每日",D243+1,IF(C243="每週",D243+7,IF(C243="每月",EDATE(D243,1),IF(C243="每季",EDATE(D243,3),IF(C243="每年",EDATE(D243,12),""))))))</f>
        <v/>
      </c>
      <c r="F243" s="21">
        <f>IF(E243="","",IF(E243&lt;TODAY(),"逾期","正常"))</f>
        <v/>
      </c>
      <c r="G243" s="21" t="n"/>
      <c r="H243" s="21" t="n"/>
    </row>
    <row r="244">
      <c r="A244" s="21" t="n"/>
      <c r="B244" s="21" t="n"/>
      <c r="C244" s="21" t="n"/>
      <c r="D244" s="18" t="n"/>
      <c r="E244" s="18">
        <f>IF(D244="","",IF(C244="每日",D244+1,IF(C244="每週",D244+7,IF(C244="每月",EDATE(D244,1),IF(C244="每季",EDATE(D244,3),IF(C244="每年",EDATE(D244,12),""))))))</f>
        <v/>
      </c>
      <c r="F244" s="21">
        <f>IF(E244="","",IF(E244&lt;TODAY(),"逾期","正常"))</f>
        <v/>
      </c>
      <c r="G244" s="21" t="n"/>
      <c r="H244" s="21" t="n"/>
    </row>
    <row r="245">
      <c r="A245" s="21" t="n"/>
      <c r="B245" s="21" t="n"/>
      <c r="C245" s="21" t="n"/>
      <c r="D245" s="18" t="n"/>
      <c r="E245" s="18">
        <f>IF(D245="","",IF(C245="每日",D245+1,IF(C245="每週",D245+7,IF(C245="每月",EDATE(D245,1),IF(C245="每季",EDATE(D245,3),IF(C245="每年",EDATE(D245,12),""))))))</f>
        <v/>
      </c>
      <c r="F245" s="21">
        <f>IF(E245="","",IF(E245&lt;TODAY(),"逾期","正常"))</f>
        <v/>
      </c>
      <c r="G245" s="21" t="n"/>
      <c r="H245" s="21" t="n"/>
    </row>
    <row r="246">
      <c r="A246" s="21" t="n"/>
      <c r="B246" s="21" t="n"/>
      <c r="C246" s="21" t="n"/>
      <c r="D246" s="18" t="n"/>
      <c r="E246" s="18">
        <f>IF(D246="","",IF(C246="每日",D246+1,IF(C246="每週",D246+7,IF(C246="每月",EDATE(D246,1),IF(C246="每季",EDATE(D246,3),IF(C246="每年",EDATE(D246,12),""))))))</f>
        <v/>
      </c>
      <c r="F246" s="21">
        <f>IF(E246="","",IF(E246&lt;TODAY(),"逾期","正常"))</f>
        <v/>
      </c>
      <c r="G246" s="21" t="n"/>
      <c r="H246" s="21" t="n"/>
    </row>
    <row r="247">
      <c r="A247" s="21" t="n"/>
      <c r="B247" s="21" t="n"/>
      <c r="C247" s="21" t="n"/>
      <c r="D247" s="18" t="n"/>
      <c r="E247" s="18">
        <f>IF(D247="","",IF(C247="每日",D247+1,IF(C247="每週",D247+7,IF(C247="每月",EDATE(D247,1),IF(C247="每季",EDATE(D247,3),IF(C247="每年",EDATE(D247,12),""))))))</f>
        <v/>
      </c>
      <c r="F247" s="21">
        <f>IF(E247="","",IF(E247&lt;TODAY(),"逾期","正常"))</f>
        <v/>
      </c>
      <c r="G247" s="21" t="n"/>
      <c r="H247" s="21" t="n"/>
    </row>
    <row r="248">
      <c r="A248" s="21" t="n"/>
      <c r="B248" s="21" t="n"/>
      <c r="C248" s="21" t="n"/>
      <c r="D248" s="18" t="n"/>
      <c r="E248" s="18">
        <f>IF(D248="","",IF(C248="每日",D248+1,IF(C248="每週",D248+7,IF(C248="每月",EDATE(D248,1),IF(C248="每季",EDATE(D248,3),IF(C248="每年",EDATE(D248,12),""))))))</f>
        <v/>
      </c>
      <c r="F248" s="21">
        <f>IF(E248="","",IF(E248&lt;TODAY(),"逾期","正常"))</f>
        <v/>
      </c>
      <c r="G248" s="21" t="n"/>
      <c r="H248" s="21" t="n"/>
    </row>
    <row r="249">
      <c r="A249" s="21" t="n"/>
      <c r="B249" s="21" t="n"/>
      <c r="C249" s="21" t="n"/>
      <c r="D249" s="18" t="n"/>
      <c r="E249" s="18">
        <f>IF(D249="","",IF(C249="每日",D249+1,IF(C249="每週",D249+7,IF(C249="每月",EDATE(D249,1),IF(C249="每季",EDATE(D249,3),IF(C249="每年",EDATE(D249,12),""))))))</f>
        <v/>
      </c>
      <c r="F249" s="21">
        <f>IF(E249="","",IF(E249&lt;TODAY(),"逾期","正常"))</f>
        <v/>
      </c>
      <c r="G249" s="21" t="n"/>
      <c r="H249" s="21" t="n"/>
    </row>
    <row r="250">
      <c r="A250" s="21" t="n"/>
      <c r="B250" s="21" t="n"/>
      <c r="C250" s="21" t="n"/>
      <c r="D250" s="18" t="n"/>
      <c r="E250" s="18">
        <f>IF(D250="","",IF(C250="每日",D250+1,IF(C250="每週",D250+7,IF(C250="每月",EDATE(D250,1),IF(C250="每季",EDATE(D250,3),IF(C250="每年",EDATE(D250,12),""))))))</f>
        <v/>
      </c>
      <c r="F250" s="21">
        <f>IF(E250="","",IF(E250&lt;TODAY(),"逾期","正常"))</f>
        <v/>
      </c>
      <c r="G250" s="21" t="n"/>
      <c r="H250" s="21" t="n"/>
    </row>
    <row r="251">
      <c r="A251" s="21" t="n"/>
      <c r="B251" s="21" t="n"/>
      <c r="C251" s="21" t="n"/>
      <c r="D251" s="18" t="n"/>
      <c r="E251" s="18">
        <f>IF(D251="","",IF(C251="每日",D251+1,IF(C251="每週",D251+7,IF(C251="每月",EDATE(D251,1),IF(C251="每季",EDATE(D251,3),IF(C251="每年",EDATE(D251,12),""))))))</f>
        <v/>
      </c>
      <c r="F251" s="21">
        <f>IF(E251="","",IF(E251&lt;TODAY(),"逾期","正常"))</f>
        <v/>
      </c>
      <c r="G251" s="21" t="n"/>
      <c r="H251" s="21" t="n"/>
    </row>
    <row r="252">
      <c r="A252" s="21" t="n"/>
      <c r="B252" s="21" t="n"/>
      <c r="C252" s="21" t="n"/>
      <c r="D252" s="18" t="n"/>
      <c r="E252" s="18">
        <f>IF(D252="","",IF(C252="每日",D252+1,IF(C252="每週",D252+7,IF(C252="每月",EDATE(D252,1),IF(C252="每季",EDATE(D252,3),IF(C252="每年",EDATE(D252,12),""))))))</f>
        <v/>
      </c>
      <c r="F252" s="21">
        <f>IF(E252="","",IF(E252&lt;TODAY(),"逾期","正常"))</f>
        <v/>
      </c>
      <c r="G252" s="21" t="n"/>
      <c r="H252" s="21" t="n"/>
    </row>
    <row r="253">
      <c r="A253" s="21" t="n"/>
      <c r="B253" s="21" t="n"/>
      <c r="C253" s="21" t="n"/>
      <c r="D253" s="18" t="n"/>
      <c r="E253" s="18">
        <f>IF(D253="","",IF(C253="每日",D253+1,IF(C253="每週",D253+7,IF(C253="每月",EDATE(D253,1),IF(C253="每季",EDATE(D253,3),IF(C253="每年",EDATE(D253,12),""))))))</f>
        <v/>
      </c>
      <c r="F253" s="21">
        <f>IF(E253="","",IF(E253&lt;TODAY(),"逾期","正常"))</f>
        <v/>
      </c>
      <c r="G253" s="21" t="n"/>
      <c r="H253" s="21" t="n"/>
    </row>
    <row r="254">
      <c r="A254" s="21" t="n"/>
      <c r="B254" s="21" t="n"/>
      <c r="C254" s="21" t="n"/>
      <c r="D254" s="18" t="n"/>
      <c r="E254" s="18">
        <f>IF(D254="","",IF(C254="每日",D254+1,IF(C254="每週",D254+7,IF(C254="每月",EDATE(D254,1),IF(C254="每季",EDATE(D254,3),IF(C254="每年",EDATE(D254,12),""))))))</f>
        <v/>
      </c>
      <c r="F254" s="21">
        <f>IF(E254="","",IF(E254&lt;TODAY(),"逾期","正常"))</f>
        <v/>
      </c>
      <c r="G254" s="21" t="n"/>
      <c r="H254" s="21" t="n"/>
    </row>
    <row r="255">
      <c r="A255" s="21" t="n"/>
      <c r="B255" s="21" t="n"/>
      <c r="C255" s="21" t="n"/>
      <c r="D255" s="18" t="n"/>
      <c r="E255" s="18">
        <f>IF(D255="","",IF(C255="每日",D255+1,IF(C255="每週",D255+7,IF(C255="每月",EDATE(D255,1),IF(C255="每季",EDATE(D255,3),IF(C255="每年",EDATE(D255,12),""))))))</f>
        <v/>
      </c>
      <c r="F255" s="21">
        <f>IF(E255="","",IF(E255&lt;TODAY(),"逾期","正常"))</f>
        <v/>
      </c>
      <c r="G255" s="21" t="n"/>
      <c r="H255" s="21" t="n"/>
    </row>
    <row r="256">
      <c r="A256" s="21" t="n"/>
      <c r="B256" s="21" t="n"/>
      <c r="C256" s="21" t="n"/>
      <c r="D256" s="18" t="n"/>
      <c r="E256" s="18">
        <f>IF(D256="","",IF(C256="每日",D256+1,IF(C256="每週",D256+7,IF(C256="每月",EDATE(D256,1),IF(C256="每季",EDATE(D256,3),IF(C256="每年",EDATE(D256,12),""))))))</f>
        <v/>
      </c>
      <c r="F256" s="21">
        <f>IF(E256="","",IF(E256&lt;TODAY(),"逾期","正常"))</f>
        <v/>
      </c>
      <c r="G256" s="21" t="n"/>
      <c r="H256" s="21" t="n"/>
    </row>
    <row r="257">
      <c r="A257" s="21" t="n"/>
      <c r="B257" s="21" t="n"/>
      <c r="C257" s="21" t="n"/>
      <c r="D257" s="18" t="n"/>
      <c r="E257" s="18">
        <f>IF(D257="","",IF(C257="每日",D257+1,IF(C257="每週",D257+7,IF(C257="每月",EDATE(D257,1),IF(C257="每季",EDATE(D257,3),IF(C257="每年",EDATE(D257,12),""))))))</f>
        <v/>
      </c>
      <c r="F257" s="21">
        <f>IF(E257="","",IF(E257&lt;TODAY(),"逾期","正常"))</f>
        <v/>
      </c>
      <c r="G257" s="21" t="n"/>
      <c r="H257" s="21" t="n"/>
    </row>
    <row r="258">
      <c r="A258" s="21" t="n"/>
      <c r="B258" s="21" t="n"/>
      <c r="C258" s="21" t="n"/>
      <c r="D258" s="18" t="n"/>
      <c r="E258" s="18">
        <f>IF(D258="","",IF(C258="每日",D258+1,IF(C258="每週",D258+7,IF(C258="每月",EDATE(D258,1),IF(C258="每季",EDATE(D258,3),IF(C258="每年",EDATE(D258,12),""))))))</f>
        <v/>
      </c>
      <c r="F258" s="21">
        <f>IF(E258="","",IF(E258&lt;TODAY(),"逾期","正常"))</f>
        <v/>
      </c>
      <c r="G258" s="21" t="n"/>
      <c r="H258" s="21" t="n"/>
    </row>
    <row r="259">
      <c r="A259" s="21" t="n"/>
      <c r="B259" s="21" t="n"/>
      <c r="C259" s="21" t="n"/>
      <c r="D259" s="18" t="n"/>
      <c r="E259" s="18">
        <f>IF(D259="","",IF(C259="每日",D259+1,IF(C259="每週",D259+7,IF(C259="每月",EDATE(D259,1),IF(C259="每季",EDATE(D259,3),IF(C259="每年",EDATE(D259,12),""))))))</f>
        <v/>
      </c>
      <c r="F259" s="21">
        <f>IF(E259="","",IF(E259&lt;TODAY(),"逾期","正常"))</f>
        <v/>
      </c>
      <c r="G259" s="21" t="n"/>
      <c r="H259" s="21" t="n"/>
    </row>
    <row r="260">
      <c r="A260" s="21" t="n"/>
      <c r="B260" s="21" t="n"/>
      <c r="C260" s="21" t="n"/>
      <c r="D260" s="18" t="n"/>
      <c r="E260" s="18">
        <f>IF(D260="","",IF(C260="每日",D260+1,IF(C260="每週",D260+7,IF(C260="每月",EDATE(D260,1),IF(C260="每季",EDATE(D260,3),IF(C260="每年",EDATE(D260,12),""))))))</f>
        <v/>
      </c>
      <c r="F260" s="21">
        <f>IF(E260="","",IF(E260&lt;TODAY(),"逾期","正常"))</f>
        <v/>
      </c>
      <c r="G260" s="21" t="n"/>
      <c r="H260" s="21" t="n"/>
    </row>
    <row r="261">
      <c r="A261" s="21" t="n"/>
      <c r="B261" s="21" t="n"/>
      <c r="C261" s="21" t="n"/>
      <c r="D261" s="18" t="n"/>
      <c r="E261" s="18">
        <f>IF(D261="","",IF(C261="每日",D261+1,IF(C261="每週",D261+7,IF(C261="每月",EDATE(D261,1),IF(C261="每季",EDATE(D261,3),IF(C261="每年",EDATE(D261,12),""))))))</f>
        <v/>
      </c>
      <c r="F261" s="21">
        <f>IF(E261="","",IF(E261&lt;TODAY(),"逾期","正常"))</f>
        <v/>
      </c>
      <c r="G261" s="21" t="n"/>
      <c r="H261" s="21" t="n"/>
    </row>
    <row r="262">
      <c r="A262" s="21" t="n"/>
      <c r="B262" s="21" t="n"/>
      <c r="C262" s="21" t="n"/>
      <c r="D262" s="18" t="n"/>
      <c r="E262" s="18">
        <f>IF(D262="","",IF(C262="每日",D262+1,IF(C262="每週",D262+7,IF(C262="每月",EDATE(D262,1),IF(C262="每季",EDATE(D262,3),IF(C262="每年",EDATE(D262,12),""))))))</f>
        <v/>
      </c>
      <c r="F262" s="21">
        <f>IF(E262="","",IF(E262&lt;TODAY(),"逾期","正常"))</f>
        <v/>
      </c>
      <c r="G262" s="21" t="n"/>
      <c r="H262" s="21" t="n"/>
    </row>
    <row r="263">
      <c r="A263" s="21" t="n"/>
      <c r="B263" s="21" t="n"/>
      <c r="C263" s="21" t="n"/>
      <c r="D263" s="18" t="n"/>
      <c r="E263" s="18">
        <f>IF(D263="","",IF(C263="每日",D263+1,IF(C263="每週",D263+7,IF(C263="每月",EDATE(D263,1),IF(C263="每季",EDATE(D263,3),IF(C263="每年",EDATE(D263,12),""))))))</f>
        <v/>
      </c>
      <c r="F263" s="21">
        <f>IF(E263="","",IF(E263&lt;TODAY(),"逾期","正常"))</f>
        <v/>
      </c>
      <c r="G263" s="21" t="n"/>
      <c r="H263" s="21" t="n"/>
    </row>
    <row r="264">
      <c r="A264" s="21" t="n"/>
      <c r="B264" s="21" t="n"/>
      <c r="C264" s="21" t="n"/>
      <c r="D264" s="18" t="n"/>
      <c r="E264" s="18">
        <f>IF(D264="","",IF(C264="每日",D264+1,IF(C264="每週",D264+7,IF(C264="每月",EDATE(D264,1),IF(C264="每季",EDATE(D264,3),IF(C264="每年",EDATE(D264,12),""))))))</f>
        <v/>
      </c>
      <c r="F264" s="21">
        <f>IF(E264="","",IF(E264&lt;TODAY(),"逾期","正常"))</f>
        <v/>
      </c>
      <c r="G264" s="21" t="n"/>
      <c r="H264" s="21" t="n"/>
    </row>
    <row r="265">
      <c r="A265" s="21" t="n"/>
      <c r="B265" s="21" t="n"/>
      <c r="C265" s="21" t="n"/>
      <c r="D265" s="18" t="n"/>
      <c r="E265" s="18">
        <f>IF(D265="","",IF(C265="每日",D265+1,IF(C265="每週",D265+7,IF(C265="每月",EDATE(D265,1),IF(C265="每季",EDATE(D265,3),IF(C265="每年",EDATE(D265,12),""))))))</f>
        <v/>
      </c>
      <c r="F265" s="21">
        <f>IF(E265="","",IF(E265&lt;TODAY(),"逾期","正常"))</f>
        <v/>
      </c>
      <c r="G265" s="21" t="n"/>
      <c r="H265" s="21" t="n"/>
    </row>
    <row r="266">
      <c r="A266" s="21" t="n"/>
      <c r="B266" s="21" t="n"/>
      <c r="C266" s="21" t="n"/>
      <c r="D266" s="18" t="n"/>
      <c r="E266" s="18">
        <f>IF(D266="","",IF(C266="每日",D266+1,IF(C266="每週",D266+7,IF(C266="每月",EDATE(D266,1),IF(C266="每季",EDATE(D266,3),IF(C266="每年",EDATE(D266,12),""))))))</f>
        <v/>
      </c>
      <c r="F266" s="21">
        <f>IF(E266="","",IF(E266&lt;TODAY(),"逾期","正常"))</f>
        <v/>
      </c>
      <c r="G266" s="21" t="n"/>
      <c r="H266" s="21" t="n"/>
    </row>
    <row r="267">
      <c r="A267" s="21" t="n"/>
      <c r="B267" s="21" t="n"/>
      <c r="C267" s="21" t="n"/>
      <c r="D267" s="18" t="n"/>
      <c r="E267" s="18">
        <f>IF(D267="","",IF(C267="每日",D267+1,IF(C267="每週",D267+7,IF(C267="每月",EDATE(D267,1),IF(C267="每季",EDATE(D267,3),IF(C267="每年",EDATE(D267,12),""))))))</f>
        <v/>
      </c>
      <c r="F267" s="21">
        <f>IF(E267="","",IF(E267&lt;TODAY(),"逾期","正常"))</f>
        <v/>
      </c>
      <c r="G267" s="21" t="n"/>
      <c r="H267" s="21" t="n"/>
    </row>
    <row r="268">
      <c r="A268" s="21" t="n"/>
      <c r="B268" s="21" t="n"/>
      <c r="C268" s="21" t="n"/>
      <c r="D268" s="18" t="n"/>
      <c r="E268" s="18">
        <f>IF(D268="","",IF(C268="每日",D268+1,IF(C268="每週",D268+7,IF(C268="每月",EDATE(D268,1),IF(C268="每季",EDATE(D268,3),IF(C268="每年",EDATE(D268,12),""))))))</f>
        <v/>
      </c>
      <c r="F268" s="21">
        <f>IF(E268="","",IF(E268&lt;TODAY(),"逾期","正常"))</f>
        <v/>
      </c>
      <c r="G268" s="21" t="n"/>
      <c r="H268" s="21" t="n"/>
    </row>
    <row r="269">
      <c r="A269" s="21" t="n"/>
      <c r="B269" s="21" t="n"/>
      <c r="C269" s="21" t="n"/>
      <c r="D269" s="18" t="n"/>
      <c r="E269" s="18">
        <f>IF(D269="","",IF(C269="每日",D269+1,IF(C269="每週",D269+7,IF(C269="每月",EDATE(D269,1),IF(C269="每季",EDATE(D269,3),IF(C269="每年",EDATE(D269,12),""))))))</f>
        <v/>
      </c>
      <c r="F269" s="21">
        <f>IF(E269="","",IF(E269&lt;TODAY(),"逾期","正常"))</f>
        <v/>
      </c>
      <c r="G269" s="21" t="n"/>
      <c r="H269" s="21" t="n"/>
    </row>
    <row r="270">
      <c r="A270" s="21" t="n"/>
      <c r="B270" s="21" t="n"/>
      <c r="C270" s="21" t="n"/>
      <c r="D270" s="18" t="n"/>
      <c r="E270" s="18">
        <f>IF(D270="","",IF(C270="每日",D270+1,IF(C270="每週",D270+7,IF(C270="每月",EDATE(D270,1),IF(C270="每季",EDATE(D270,3),IF(C270="每年",EDATE(D270,12),""))))))</f>
        <v/>
      </c>
      <c r="F270" s="21">
        <f>IF(E270="","",IF(E270&lt;TODAY(),"逾期","正常"))</f>
        <v/>
      </c>
      <c r="G270" s="21" t="n"/>
      <c r="H270" s="21" t="n"/>
    </row>
    <row r="271">
      <c r="A271" s="21" t="n"/>
      <c r="B271" s="21" t="n"/>
      <c r="C271" s="21" t="n"/>
      <c r="D271" s="18" t="n"/>
      <c r="E271" s="18">
        <f>IF(D271="","",IF(C271="每日",D271+1,IF(C271="每週",D271+7,IF(C271="每月",EDATE(D271,1),IF(C271="每季",EDATE(D271,3),IF(C271="每年",EDATE(D271,12),""))))))</f>
        <v/>
      </c>
      <c r="F271" s="21">
        <f>IF(E271="","",IF(E271&lt;TODAY(),"逾期","正常"))</f>
        <v/>
      </c>
      <c r="G271" s="21" t="n"/>
      <c r="H271" s="21" t="n"/>
    </row>
    <row r="272">
      <c r="A272" s="21" t="n"/>
      <c r="B272" s="21" t="n"/>
      <c r="C272" s="21" t="n"/>
      <c r="D272" s="18" t="n"/>
      <c r="E272" s="18">
        <f>IF(D272="","",IF(C272="每日",D272+1,IF(C272="每週",D272+7,IF(C272="每月",EDATE(D272,1),IF(C272="每季",EDATE(D272,3),IF(C272="每年",EDATE(D272,12),""))))))</f>
        <v/>
      </c>
      <c r="F272" s="21">
        <f>IF(E272="","",IF(E272&lt;TODAY(),"逾期","正常"))</f>
        <v/>
      </c>
      <c r="G272" s="21" t="n"/>
      <c r="H272" s="21" t="n"/>
    </row>
    <row r="273">
      <c r="A273" s="21" t="n"/>
      <c r="B273" s="21" t="n"/>
      <c r="C273" s="21" t="n"/>
      <c r="D273" s="18" t="n"/>
      <c r="E273" s="18">
        <f>IF(D273="","",IF(C273="每日",D273+1,IF(C273="每週",D273+7,IF(C273="每月",EDATE(D273,1),IF(C273="每季",EDATE(D273,3),IF(C273="每年",EDATE(D273,12),""))))))</f>
        <v/>
      </c>
      <c r="F273" s="21">
        <f>IF(E273="","",IF(E273&lt;TODAY(),"逾期","正常"))</f>
        <v/>
      </c>
      <c r="G273" s="21" t="n"/>
      <c r="H273" s="21" t="n"/>
    </row>
    <row r="274">
      <c r="A274" s="21" t="n"/>
      <c r="B274" s="21" t="n"/>
      <c r="C274" s="21" t="n"/>
      <c r="D274" s="18" t="n"/>
      <c r="E274" s="18">
        <f>IF(D274="","",IF(C274="每日",D274+1,IF(C274="每週",D274+7,IF(C274="每月",EDATE(D274,1),IF(C274="每季",EDATE(D274,3),IF(C274="每年",EDATE(D274,12),""))))))</f>
        <v/>
      </c>
      <c r="F274" s="21">
        <f>IF(E274="","",IF(E274&lt;TODAY(),"逾期","正常"))</f>
        <v/>
      </c>
      <c r="G274" s="21" t="n"/>
      <c r="H274" s="21" t="n"/>
    </row>
    <row r="275">
      <c r="A275" s="21" t="n"/>
      <c r="B275" s="21" t="n"/>
      <c r="C275" s="21" t="n"/>
      <c r="D275" s="18" t="n"/>
      <c r="E275" s="18">
        <f>IF(D275="","",IF(C275="每日",D275+1,IF(C275="每週",D275+7,IF(C275="每月",EDATE(D275,1),IF(C275="每季",EDATE(D275,3),IF(C275="每年",EDATE(D275,12),""))))))</f>
        <v/>
      </c>
      <c r="F275" s="21">
        <f>IF(E275="","",IF(E275&lt;TODAY(),"逾期","正常"))</f>
        <v/>
      </c>
      <c r="G275" s="21" t="n"/>
      <c r="H275" s="21" t="n"/>
    </row>
    <row r="276">
      <c r="A276" s="21" t="n"/>
      <c r="B276" s="21" t="n"/>
      <c r="C276" s="21" t="n"/>
      <c r="D276" s="18" t="n"/>
      <c r="E276" s="18">
        <f>IF(D276="","",IF(C276="每日",D276+1,IF(C276="每週",D276+7,IF(C276="每月",EDATE(D276,1),IF(C276="每季",EDATE(D276,3),IF(C276="每年",EDATE(D276,12),""))))))</f>
        <v/>
      </c>
      <c r="F276" s="21">
        <f>IF(E276="","",IF(E276&lt;TODAY(),"逾期","正常"))</f>
        <v/>
      </c>
      <c r="G276" s="21" t="n"/>
      <c r="H276" s="21" t="n"/>
    </row>
    <row r="277">
      <c r="A277" s="21" t="n"/>
      <c r="B277" s="21" t="n"/>
      <c r="C277" s="21" t="n"/>
      <c r="D277" s="18" t="n"/>
      <c r="E277" s="18">
        <f>IF(D277="","",IF(C277="每日",D277+1,IF(C277="每週",D277+7,IF(C277="每月",EDATE(D277,1),IF(C277="每季",EDATE(D277,3),IF(C277="每年",EDATE(D277,12),""))))))</f>
        <v/>
      </c>
      <c r="F277" s="21">
        <f>IF(E277="","",IF(E277&lt;TODAY(),"逾期","正常"))</f>
        <v/>
      </c>
      <c r="G277" s="21" t="n"/>
      <c r="H277" s="21" t="n"/>
    </row>
    <row r="278">
      <c r="A278" s="21" t="n"/>
      <c r="B278" s="21" t="n"/>
      <c r="C278" s="21" t="n"/>
      <c r="D278" s="18" t="n"/>
      <c r="E278" s="18">
        <f>IF(D278="","",IF(C278="每日",D278+1,IF(C278="每週",D278+7,IF(C278="每月",EDATE(D278,1),IF(C278="每季",EDATE(D278,3),IF(C278="每年",EDATE(D278,12),""))))))</f>
        <v/>
      </c>
      <c r="F278" s="21">
        <f>IF(E278="","",IF(E278&lt;TODAY(),"逾期","正常"))</f>
        <v/>
      </c>
      <c r="G278" s="21" t="n"/>
      <c r="H278" s="21" t="n"/>
    </row>
    <row r="279">
      <c r="A279" s="21" t="n"/>
      <c r="B279" s="21" t="n"/>
      <c r="C279" s="21" t="n"/>
      <c r="D279" s="18" t="n"/>
      <c r="E279" s="18">
        <f>IF(D279="","",IF(C279="每日",D279+1,IF(C279="每週",D279+7,IF(C279="每月",EDATE(D279,1),IF(C279="每季",EDATE(D279,3),IF(C279="每年",EDATE(D279,12),""))))))</f>
        <v/>
      </c>
      <c r="F279" s="21">
        <f>IF(E279="","",IF(E279&lt;TODAY(),"逾期","正常"))</f>
        <v/>
      </c>
      <c r="G279" s="21" t="n"/>
      <c r="H279" s="21" t="n"/>
    </row>
    <row r="280">
      <c r="A280" s="21" t="n"/>
      <c r="B280" s="21" t="n"/>
      <c r="C280" s="21" t="n"/>
      <c r="D280" s="18" t="n"/>
      <c r="E280" s="18">
        <f>IF(D280="","",IF(C280="每日",D280+1,IF(C280="每週",D280+7,IF(C280="每月",EDATE(D280,1),IF(C280="每季",EDATE(D280,3),IF(C280="每年",EDATE(D280,12),""))))))</f>
        <v/>
      </c>
      <c r="F280" s="21">
        <f>IF(E280="","",IF(E280&lt;TODAY(),"逾期","正常"))</f>
        <v/>
      </c>
      <c r="G280" s="21" t="n"/>
      <c r="H280" s="21" t="n"/>
    </row>
    <row r="281">
      <c r="A281" s="21" t="n"/>
      <c r="B281" s="21" t="n"/>
      <c r="C281" s="21" t="n"/>
      <c r="D281" s="18" t="n"/>
      <c r="E281" s="18">
        <f>IF(D281="","",IF(C281="每日",D281+1,IF(C281="每週",D281+7,IF(C281="每月",EDATE(D281,1),IF(C281="每季",EDATE(D281,3),IF(C281="每年",EDATE(D281,12),""))))))</f>
        <v/>
      </c>
      <c r="F281" s="21">
        <f>IF(E281="","",IF(E281&lt;TODAY(),"逾期","正常"))</f>
        <v/>
      </c>
      <c r="G281" s="21" t="n"/>
      <c r="H281" s="21" t="n"/>
    </row>
    <row r="282">
      <c r="A282" s="21" t="n"/>
      <c r="B282" s="21" t="n"/>
      <c r="C282" s="21" t="n"/>
      <c r="D282" s="18" t="n"/>
      <c r="E282" s="18">
        <f>IF(D282="","",IF(C282="每日",D282+1,IF(C282="每週",D282+7,IF(C282="每月",EDATE(D282,1),IF(C282="每季",EDATE(D282,3),IF(C282="每年",EDATE(D282,12),""))))))</f>
        <v/>
      </c>
      <c r="F282" s="21">
        <f>IF(E282="","",IF(E282&lt;TODAY(),"逾期","正常"))</f>
        <v/>
      </c>
      <c r="G282" s="21" t="n"/>
      <c r="H282" s="21" t="n"/>
    </row>
    <row r="283">
      <c r="A283" s="21" t="n"/>
      <c r="B283" s="21" t="n"/>
      <c r="C283" s="21" t="n"/>
      <c r="D283" s="18" t="n"/>
      <c r="E283" s="18">
        <f>IF(D283="","",IF(C283="每日",D283+1,IF(C283="每週",D283+7,IF(C283="每月",EDATE(D283,1),IF(C283="每季",EDATE(D283,3),IF(C283="每年",EDATE(D283,12),""))))))</f>
        <v/>
      </c>
      <c r="F283" s="21">
        <f>IF(E283="","",IF(E283&lt;TODAY(),"逾期","正常"))</f>
        <v/>
      </c>
      <c r="G283" s="21" t="n"/>
      <c r="H283" s="21" t="n"/>
    </row>
    <row r="284">
      <c r="A284" s="21" t="n"/>
      <c r="B284" s="21" t="n"/>
      <c r="C284" s="21" t="n"/>
      <c r="D284" s="18" t="n"/>
      <c r="E284" s="18">
        <f>IF(D284="","",IF(C284="每日",D284+1,IF(C284="每週",D284+7,IF(C284="每月",EDATE(D284,1),IF(C284="每季",EDATE(D284,3),IF(C284="每年",EDATE(D284,12),""))))))</f>
        <v/>
      </c>
      <c r="F284" s="21">
        <f>IF(E284="","",IF(E284&lt;TODAY(),"逾期","正常"))</f>
        <v/>
      </c>
      <c r="G284" s="21" t="n"/>
      <c r="H284" s="21" t="n"/>
    </row>
    <row r="285">
      <c r="A285" s="21" t="n"/>
      <c r="B285" s="21" t="n"/>
      <c r="C285" s="21" t="n"/>
      <c r="D285" s="18" t="n"/>
      <c r="E285" s="18">
        <f>IF(D285="","",IF(C285="每日",D285+1,IF(C285="每週",D285+7,IF(C285="每月",EDATE(D285,1),IF(C285="每季",EDATE(D285,3),IF(C285="每年",EDATE(D285,12),""))))))</f>
        <v/>
      </c>
      <c r="F285" s="21">
        <f>IF(E285="","",IF(E285&lt;TODAY(),"逾期","正常"))</f>
        <v/>
      </c>
      <c r="G285" s="21" t="n"/>
      <c r="H285" s="21" t="n"/>
    </row>
    <row r="286">
      <c r="A286" s="21" t="n"/>
      <c r="B286" s="21" t="n"/>
      <c r="C286" s="21" t="n"/>
      <c r="D286" s="18" t="n"/>
      <c r="E286" s="18">
        <f>IF(D286="","",IF(C286="每日",D286+1,IF(C286="每週",D286+7,IF(C286="每月",EDATE(D286,1),IF(C286="每季",EDATE(D286,3),IF(C286="每年",EDATE(D286,12),""))))))</f>
        <v/>
      </c>
      <c r="F286" s="21">
        <f>IF(E286="","",IF(E286&lt;TODAY(),"逾期","正常"))</f>
        <v/>
      </c>
      <c r="G286" s="21" t="n"/>
      <c r="H286" s="21" t="n"/>
    </row>
    <row r="287">
      <c r="A287" s="21" t="n"/>
      <c r="B287" s="21" t="n"/>
      <c r="C287" s="21" t="n"/>
      <c r="D287" s="18" t="n"/>
      <c r="E287" s="18">
        <f>IF(D287="","",IF(C287="每日",D287+1,IF(C287="每週",D287+7,IF(C287="每月",EDATE(D287,1),IF(C287="每季",EDATE(D287,3),IF(C287="每年",EDATE(D287,12),""))))))</f>
        <v/>
      </c>
      <c r="F287" s="21">
        <f>IF(E287="","",IF(E287&lt;TODAY(),"逾期","正常"))</f>
        <v/>
      </c>
      <c r="G287" s="21" t="n"/>
      <c r="H287" s="21" t="n"/>
    </row>
    <row r="288">
      <c r="A288" s="21" t="n"/>
      <c r="B288" s="21" t="n"/>
      <c r="C288" s="21" t="n"/>
      <c r="D288" s="18" t="n"/>
      <c r="E288" s="18">
        <f>IF(D288="","",IF(C288="每日",D288+1,IF(C288="每週",D288+7,IF(C288="每月",EDATE(D288,1),IF(C288="每季",EDATE(D288,3),IF(C288="每年",EDATE(D288,12),""))))))</f>
        <v/>
      </c>
      <c r="F288" s="21">
        <f>IF(E288="","",IF(E288&lt;TODAY(),"逾期","正常"))</f>
        <v/>
      </c>
      <c r="G288" s="21" t="n"/>
      <c r="H288" s="21" t="n"/>
    </row>
    <row r="289">
      <c r="A289" s="21" t="n"/>
      <c r="B289" s="21" t="n"/>
      <c r="C289" s="21" t="n"/>
      <c r="D289" s="18" t="n"/>
      <c r="E289" s="18">
        <f>IF(D289="","",IF(C289="每日",D289+1,IF(C289="每週",D289+7,IF(C289="每月",EDATE(D289,1),IF(C289="每季",EDATE(D289,3),IF(C289="每年",EDATE(D289,12),""))))))</f>
        <v/>
      </c>
      <c r="F289" s="21">
        <f>IF(E289="","",IF(E289&lt;TODAY(),"逾期","正常"))</f>
        <v/>
      </c>
      <c r="G289" s="21" t="n"/>
      <c r="H289" s="21" t="n"/>
    </row>
    <row r="290">
      <c r="A290" s="21" t="n"/>
      <c r="B290" s="21" t="n"/>
      <c r="C290" s="21" t="n"/>
      <c r="D290" s="18" t="n"/>
      <c r="E290" s="18">
        <f>IF(D290="","",IF(C290="每日",D290+1,IF(C290="每週",D290+7,IF(C290="每月",EDATE(D290,1),IF(C290="每季",EDATE(D290,3),IF(C290="每年",EDATE(D290,12),""))))))</f>
        <v/>
      </c>
      <c r="F290" s="21">
        <f>IF(E290="","",IF(E290&lt;TODAY(),"逾期","正常"))</f>
        <v/>
      </c>
      <c r="G290" s="21" t="n"/>
      <c r="H290" s="21" t="n"/>
    </row>
    <row r="291">
      <c r="A291" s="21" t="n"/>
      <c r="B291" s="21" t="n"/>
      <c r="C291" s="21" t="n"/>
      <c r="D291" s="18" t="n"/>
      <c r="E291" s="18">
        <f>IF(D291="","",IF(C291="每日",D291+1,IF(C291="每週",D291+7,IF(C291="每月",EDATE(D291,1),IF(C291="每季",EDATE(D291,3),IF(C291="每年",EDATE(D291,12),""))))))</f>
        <v/>
      </c>
      <c r="F291" s="21">
        <f>IF(E291="","",IF(E291&lt;TODAY(),"逾期","正常"))</f>
        <v/>
      </c>
      <c r="G291" s="21" t="n"/>
      <c r="H291" s="21" t="n"/>
    </row>
    <row r="292">
      <c r="A292" s="21" t="n"/>
      <c r="B292" s="21" t="n"/>
      <c r="C292" s="21" t="n"/>
      <c r="D292" s="18" t="n"/>
      <c r="E292" s="18">
        <f>IF(D292="","",IF(C292="每日",D292+1,IF(C292="每週",D292+7,IF(C292="每月",EDATE(D292,1),IF(C292="每季",EDATE(D292,3),IF(C292="每年",EDATE(D292,12),""))))))</f>
        <v/>
      </c>
      <c r="F292" s="21">
        <f>IF(E292="","",IF(E292&lt;TODAY(),"逾期","正常"))</f>
        <v/>
      </c>
      <c r="G292" s="21" t="n"/>
      <c r="H292" s="21" t="n"/>
    </row>
    <row r="293">
      <c r="A293" s="21" t="n"/>
      <c r="B293" s="21" t="n"/>
      <c r="C293" s="21" t="n"/>
      <c r="D293" s="18" t="n"/>
      <c r="E293" s="18">
        <f>IF(D293="","",IF(C293="每日",D293+1,IF(C293="每週",D293+7,IF(C293="每月",EDATE(D293,1),IF(C293="每季",EDATE(D293,3),IF(C293="每年",EDATE(D293,12),""))))))</f>
        <v/>
      </c>
      <c r="F293" s="21">
        <f>IF(E293="","",IF(E293&lt;TODAY(),"逾期","正常"))</f>
        <v/>
      </c>
      <c r="G293" s="21" t="n"/>
      <c r="H293" s="21" t="n"/>
    </row>
    <row r="294">
      <c r="A294" s="21" t="n"/>
      <c r="B294" s="21" t="n"/>
      <c r="C294" s="21" t="n"/>
      <c r="D294" s="18" t="n"/>
      <c r="E294" s="18">
        <f>IF(D294="","",IF(C294="每日",D294+1,IF(C294="每週",D294+7,IF(C294="每月",EDATE(D294,1),IF(C294="每季",EDATE(D294,3),IF(C294="每年",EDATE(D294,12),""))))))</f>
        <v/>
      </c>
      <c r="F294" s="21">
        <f>IF(E294="","",IF(E294&lt;TODAY(),"逾期","正常"))</f>
        <v/>
      </c>
      <c r="G294" s="21" t="n"/>
      <c r="H294" s="21" t="n"/>
    </row>
    <row r="295">
      <c r="A295" s="21" t="n"/>
      <c r="B295" s="21" t="n"/>
      <c r="C295" s="21" t="n"/>
      <c r="D295" s="18" t="n"/>
      <c r="E295" s="18">
        <f>IF(D295="","",IF(C295="每日",D295+1,IF(C295="每週",D295+7,IF(C295="每月",EDATE(D295,1),IF(C295="每季",EDATE(D295,3),IF(C295="每年",EDATE(D295,12),""))))))</f>
        <v/>
      </c>
      <c r="F295" s="21">
        <f>IF(E295="","",IF(E295&lt;TODAY(),"逾期","正常"))</f>
        <v/>
      </c>
      <c r="G295" s="21" t="n"/>
      <c r="H295" s="21" t="n"/>
    </row>
    <row r="296">
      <c r="A296" s="21" t="n"/>
      <c r="B296" s="21" t="n"/>
      <c r="C296" s="21" t="n"/>
      <c r="D296" s="18" t="n"/>
      <c r="E296" s="18">
        <f>IF(D296="","",IF(C296="每日",D296+1,IF(C296="每週",D296+7,IF(C296="每月",EDATE(D296,1),IF(C296="每季",EDATE(D296,3),IF(C296="每年",EDATE(D296,12),""))))))</f>
        <v/>
      </c>
      <c r="F296" s="21">
        <f>IF(E296="","",IF(E296&lt;TODAY(),"逾期","正常"))</f>
        <v/>
      </c>
      <c r="G296" s="21" t="n"/>
      <c r="H296" s="21" t="n"/>
    </row>
    <row r="297">
      <c r="A297" s="21" t="n"/>
      <c r="B297" s="21" t="n"/>
      <c r="C297" s="21" t="n"/>
      <c r="D297" s="18" t="n"/>
      <c r="E297" s="18">
        <f>IF(D297="","",IF(C297="每日",D297+1,IF(C297="每週",D297+7,IF(C297="每月",EDATE(D297,1),IF(C297="每季",EDATE(D297,3),IF(C297="每年",EDATE(D297,12),""))))))</f>
        <v/>
      </c>
      <c r="F297" s="21">
        <f>IF(E297="","",IF(E297&lt;TODAY(),"逾期","正常"))</f>
        <v/>
      </c>
      <c r="G297" s="21" t="n"/>
      <c r="H297" s="21" t="n"/>
    </row>
    <row r="298">
      <c r="A298" s="21" t="n"/>
      <c r="B298" s="21" t="n"/>
      <c r="C298" s="21" t="n"/>
      <c r="D298" s="18" t="n"/>
      <c r="E298" s="18">
        <f>IF(D298="","",IF(C298="每日",D298+1,IF(C298="每週",D298+7,IF(C298="每月",EDATE(D298,1),IF(C298="每季",EDATE(D298,3),IF(C298="每年",EDATE(D298,12),""))))))</f>
        <v/>
      </c>
      <c r="F298" s="21">
        <f>IF(E298="","",IF(E298&lt;TODAY(),"逾期","正常"))</f>
        <v/>
      </c>
      <c r="G298" s="21" t="n"/>
      <c r="H298" s="21" t="n"/>
    </row>
    <row r="299">
      <c r="A299" s="21" t="n"/>
      <c r="B299" s="21" t="n"/>
      <c r="C299" s="21" t="n"/>
      <c r="D299" s="18" t="n"/>
      <c r="E299" s="18">
        <f>IF(D299="","",IF(C299="每日",D299+1,IF(C299="每週",D299+7,IF(C299="每月",EDATE(D299,1),IF(C299="每季",EDATE(D299,3),IF(C299="每年",EDATE(D299,12),""))))))</f>
        <v/>
      </c>
      <c r="F299" s="21">
        <f>IF(E299="","",IF(E299&lt;TODAY(),"逾期","正常"))</f>
        <v/>
      </c>
      <c r="G299" s="21" t="n"/>
      <c r="H299" s="21" t="n"/>
    </row>
    <row r="300">
      <c r="A300" s="21" t="n"/>
      <c r="B300" s="21" t="n"/>
      <c r="C300" s="21" t="n"/>
      <c r="D300" s="18" t="n"/>
      <c r="E300" s="18">
        <f>IF(D300="","",IF(C300="每日",D300+1,IF(C300="每週",D300+7,IF(C300="每月",EDATE(D300,1),IF(C300="每季",EDATE(D300,3),IF(C300="每年",EDATE(D300,12),""))))))</f>
        <v/>
      </c>
      <c r="F300" s="21">
        <f>IF(E300="","",IF(E300&lt;TODAY(),"逾期","正常"))</f>
        <v/>
      </c>
      <c r="G300" s="21" t="n"/>
      <c r="H300" s="21" t="n"/>
    </row>
    <row r="301">
      <c r="A301" s="21" t="n"/>
      <c r="B301" s="21" t="n"/>
      <c r="C301" s="21" t="n"/>
      <c r="D301" s="18" t="n"/>
      <c r="E301" s="18">
        <f>IF(D301="","",IF(C301="每日",D301+1,IF(C301="每週",D301+7,IF(C301="每月",EDATE(D301,1),IF(C301="每季",EDATE(D301,3),IF(C301="每年",EDATE(D301,12),""))))))</f>
        <v/>
      </c>
      <c r="F301" s="21">
        <f>IF(E301="","",IF(E301&lt;TODAY(),"逾期","正常"))</f>
        <v/>
      </c>
      <c r="G301" s="21" t="n"/>
      <c r="H301" s="21" t="n"/>
    </row>
    <row r="302">
      <c r="A302" s="21" t="n"/>
      <c r="B302" s="21" t="n"/>
      <c r="C302" s="21" t="n"/>
      <c r="D302" s="18" t="n"/>
      <c r="E302" s="18">
        <f>IF(D302="","",IF(C302="每日",D302+1,IF(C302="每週",D302+7,IF(C302="每月",EDATE(D302,1),IF(C302="每季",EDATE(D302,3),IF(C302="每年",EDATE(D302,12),""))))))</f>
        <v/>
      </c>
      <c r="F302" s="21">
        <f>IF(E302="","",IF(E302&lt;TODAY(),"逾期","正常"))</f>
        <v/>
      </c>
      <c r="G302" s="21" t="n"/>
      <c r="H302" s="21" t="n"/>
    </row>
    <row r="303">
      <c r="A303" s="21" t="n"/>
      <c r="B303" s="21" t="n"/>
      <c r="C303" s="21" t="n"/>
      <c r="D303" s="18" t="n"/>
      <c r="E303" s="18">
        <f>IF(D303="","",IF(C303="每日",D303+1,IF(C303="每週",D303+7,IF(C303="每月",EDATE(D303,1),IF(C303="每季",EDATE(D303,3),IF(C303="每年",EDATE(D303,12),""))))))</f>
        <v/>
      </c>
      <c r="F303" s="21">
        <f>IF(E303="","",IF(E303&lt;TODAY(),"逾期","正常"))</f>
        <v/>
      </c>
      <c r="G303" s="21" t="n"/>
      <c r="H303" s="21" t="n"/>
    </row>
    <row r="304">
      <c r="A304" s="21" t="n"/>
      <c r="B304" s="21" t="n"/>
      <c r="C304" s="21" t="n"/>
      <c r="D304" s="18" t="n"/>
      <c r="E304" s="18">
        <f>IF(D304="","",IF(C304="每日",D304+1,IF(C304="每週",D304+7,IF(C304="每月",EDATE(D304,1),IF(C304="每季",EDATE(D304,3),IF(C304="每年",EDATE(D304,12),""))))))</f>
        <v/>
      </c>
      <c r="F304" s="21">
        <f>IF(E304="","",IF(E304&lt;TODAY(),"逾期","正常"))</f>
        <v/>
      </c>
      <c r="G304" s="21" t="n"/>
      <c r="H304" s="21" t="n"/>
    </row>
    <row r="305">
      <c r="A305" s="21" t="n"/>
      <c r="B305" s="21" t="n"/>
      <c r="C305" s="21" t="n"/>
      <c r="D305" s="18" t="n"/>
      <c r="E305" s="18">
        <f>IF(D305="","",IF(C305="每日",D305+1,IF(C305="每週",D305+7,IF(C305="每月",EDATE(D305,1),IF(C305="每季",EDATE(D305,3),IF(C305="每年",EDATE(D305,12),""))))))</f>
        <v/>
      </c>
      <c r="F305" s="21">
        <f>IF(E305="","",IF(E305&lt;TODAY(),"逾期","正常"))</f>
        <v/>
      </c>
      <c r="G305" s="21" t="n"/>
      <c r="H305" s="21" t="n"/>
    </row>
    <row r="306">
      <c r="A306" s="21" t="n"/>
      <c r="B306" s="21" t="n"/>
      <c r="C306" s="21" t="n"/>
      <c r="D306" s="18" t="n"/>
      <c r="E306" s="18">
        <f>IF(D306="","",IF(C306="每日",D306+1,IF(C306="每週",D306+7,IF(C306="每月",EDATE(D306,1),IF(C306="每季",EDATE(D306,3),IF(C306="每年",EDATE(D306,12),""))))))</f>
        <v/>
      </c>
      <c r="F306" s="21">
        <f>IF(E306="","",IF(E306&lt;TODAY(),"逾期","正常"))</f>
        <v/>
      </c>
      <c r="G306" s="21" t="n"/>
      <c r="H306" s="21" t="n"/>
    </row>
    <row r="307">
      <c r="A307" s="21" t="n"/>
      <c r="B307" s="21" t="n"/>
      <c r="C307" s="21" t="n"/>
      <c r="D307" s="18" t="n"/>
      <c r="E307" s="18">
        <f>IF(D307="","",IF(C307="每日",D307+1,IF(C307="每週",D307+7,IF(C307="每月",EDATE(D307,1),IF(C307="每季",EDATE(D307,3),IF(C307="每年",EDATE(D307,12),""))))))</f>
        <v/>
      </c>
      <c r="F307" s="21">
        <f>IF(E307="","",IF(E307&lt;TODAY(),"逾期","正常"))</f>
        <v/>
      </c>
      <c r="G307" s="21" t="n"/>
      <c r="H307" s="21" t="n"/>
    </row>
    <row r="308">
      <c r="A308" s="21" t="n"/>
      <c r="B308" s="21" t="n"/>
      <c r="C308" s="21" t="n"/>
      <c r="D308" s="18" t="n"/>
      <c r="E308" s="18">
        <f>IF(D308="","",IF(C308="每日",D308+1,IF(C308="每週",D308+7,IF(C308="每月",EDATE(D308,1),IF(C308="每季",EDATE(D308,3),IF(C308="每年",EDATE(D308,12),""))))))</f>
        <v/>
      </c>
      <c r="F308" s="21">
        <f>IF(E308="","",IF(E308&lt;TODAY(),"逾期","正常"))</f>
        <v/>
      </c>
      <c r="G308" s="21" t="n"/>
      <c r="H308" s="21" t="n"/>
    </row>
    <row r="309">
      <c r="A309" s="21" t="n"/>
      <c r="B309" s="21" t="n"/>
      <c r="C309" s="21" t="n"/>
      <c r="D309" s="18" t="n"/>
      <c r="E309" s="18">
        <f>IF(D309="","",IF(C309="每日",D309+1,IF(C309="每週",D309+7,IF(C309="每月",EDATE(D309,1),IF(C309="每季",EDATE(D309,3),IF(C309="每年",EDATE(D309,12),""))))))</f>
        <v/>
      </c>
      <c r="F309" s="21">
        <f>IF(E309="","",IF(E309&lt;TODAY(),"逾期","正常"))</f>
        <v/>
      </c>
      <c r="G309" s="21" t="n"/>
      <c r="H309" s="21" t="n"/>
    </row>
    <row r="310">
      <c r="A310" s="21" t="n"/>
      <c r="B310" s="21" t="n"/>
      <c r="C310" s="21" t="n"/>
      <c r="D310" s="18" t="n"/>
      <c r="E310" s="18">
        <f>IF(D310="","",IF(C310="每日",D310+1,IF(C310="每週",D310+7,IF(C310="每月",EDATE(D310,1),IF(C310="每季",EDATE(D310,3),IF(C310="每年",EDATE(D310,12),""))))))</f>
        <v/>
      </c>
      <c r="F310" s="21">
        <f>IF(E310="","",IF(E310&lt;TODAY(),"逾期","正常"))</f>
        <v/>
      </c>
      <c r="G310" s="21" t="n"/>
      <c r="H310" s="21" t="n"/>
    </row>
    <row r="311">
      <c r="A311" s="21" t="n"/>
      <c r="B311" s="21" t="n"/>
      <c r="C311" s="21" t="n"/>
      <c r="D311" s="18" t="n"/>
      <c r="E311" s="18">
        <f>IF(D311="","",IF(C311="每日",D311+1,IF(C311="每週",D311+7,IF(C311="每月",EDATE(D311,1),IF(C311="每季",EDATE(D311,3),IF(C311="每年",EDATE(D311,12),""))))))</f>
        <v/>
      </c>
      <c r="F311" s="21">
        <f>IF(E311="","",IF(E311&lt;TODAY(),"逾期","正常"))</f>
        <v/>
      </c>
      <c r="G311" s="21" t="n"/>
      <c r="H311" s="21" t="n"/>
    </row>
    <row r="312">
      <c r="A312" s="21" t="n"/>
      <c r="B312" s="21" t="n"/>
      <c r="C312" s="21" t="n"/>
      <c r="D312" s="18" t="n"/>
      <c r="E312" s="18">
        <f>IF(D312="","",IF(C312="每日",D312+1,IF(C312="每週",D312+7,IF(C312="每月",EDATE(D312,1),IF(C312="每季",EDATE(D312,3),IF(C312="每年",EDATE(D312,12),""))))))</f>
        <v/>
      </c>
      <c r="F312" s="21">
        <f>IF(E312="","",IF(E312&lt;TODAY(),"逾期","正常"))</f>
        <v/>
      </c>
      <c r="G312" s="21" t="n"/>
      <c r="H312" s="21" t="n"/>
    </row>
    <row r="313">
      <c r="A313" s="21" t="n"/>
      <c r="B313" s="21" t="n"/>
      <c r="C313" s="21" t="n"/>
      <c r="D313" s="18" t="n"/>
      <c r="E313" s="18">
        <f>IF(D313="","",IF(C313="每日",D313+1,IF(C313="每週",D313+7,IF(C313="每月",EDATE(D313,1),IF(C313="每季",EDATE(D313,3),IF(C313="每年",EDATE(D313,12),""))))))</f>
        <v/>
      </c>
      <c r="F313" s="21">
        <f>IF(E313="","",IF(E313&lt;TODAY(),"逾期","正常"))</f>
        <v/>
      </c>
      <c r="G313" s="21" t="n"/>
      <c r="H313" s="21" t="n"/>
    </row>
    <row r="314">
      <c r="A314" s="21" t="n"/>
      <c r="B314" s="21" t="n"/>
      <c r="C314" s="21" t="n"/>
      <c r="D314" s="18" t="n"/>
      <c r="E314" s="18">
        <f>IF(D314="","",IF(C314="每日",D314+1,IF(C314="每週",D314+7,IF(C314="每月",EDATE(D314,1),IF(C314="每季",EDATE(D314,3),IF(C314="每年",EDATE(D314,12),""))))))</f>
        <v/>
      </c>
      <c r="F314" s="21">
        <f>IF(E314="","",IF(E314&lt;TODAY(),"逾期","正常"))</f>
        <v/>
      </c>
      <c r="G314" s="21" t="n"/>
      <c r="H314" s="21" t="n"/>
    </row>
    <row r="315">
      <c r="A315" s="21" t="n"/>
      <c r="B315" s="21" t="n"/>
      <c r="C315" s="21" t="n"/>
      <c r="D315" s="18" t="n"/>
      <c r="E315" s="18">
        <f>IF(D315="","",IF(C315="每日",D315+1,IF(C315="每週",D315+7,IF(C315="每月",EDATE(D315,1),IF(C315="每季",EDATE(D315,3),IF(C315="每年",EDATE(D315,12),""))))))</f>
        <v/>
      </c>
      <c r="F315" s="21">
        <f>IF(E315="","",IF(E315&lt;TODAY(),"逾期","正常"))</f>
        <v/>
      </c>
      <c r="G315" s="21" t="n"/>
      <c r="H315" s="21" t="n"/>
    </row>
    <row r="316">
      <c r="A316" s="21" t="n"/>
      <c r="B316" s="21" t="n"/>
      <c r="C316" s="21" t="n"/>
      <c r="D316" s="18" t="n"/>
      <c r="E316" s="18">
        <f>IF(D316="","",IF(C316="每日",D316+1,IF(C316="每週",D316+7,IF(C316="每月",EDATE(D316,1),IF(C316="每季",EDATE(D316,3),IF(C316="每年",EDATE(D316,12),""))))))</f>
        <v/>
      </c>
      <c r="F316" s="21">
        <f>IF(E316="","",IF(E316&lt;TODAY(),"逾期","正常"))</f>
        <v/>
      </c>
      <c r="G316" s="21" t="n"/>
      <c r="H316" s="21" t="n"/>
    </row>
    <row r="317">
      <c r="A317" s="21" t="n"/>
      <c r="B317" s="21" t="n"/>
      <c r="C317" s="21" t="n"/>
      <c r="D317" s="18" t="n"/>
      <c r="E317" s="18">
        <f>IF(D317="","",IF(C317="每日",D317+1,IF(C317="每週",D317+7,IF(C317="每月",EDATE(D317,1),IF(C317="每季",EDATE(D317,3),IF(C317="每年",EDATE(D317,12),""))))))</f>
        <v/>
      </c>
      <c r="F317" s="21">
        <f>IF(E317="","",IF(E317&lt;TODAY(),"逾期","正常"))</f>
        <v/>
      </c>
      <c r="G317" s="21" t="n"/>
      <c r="H317" s="21" t="n"/>
    </row>
    <row r="318">
      <c r="A318" s="21" t="n"/>
      <c r="B318" s="21" t="n"/>
      <c r="C318" s="21" t="n"/>
      <c r="D318" s="18" t="n"/>
      <c r="E318" s="18">
        <f>IF(D318="","",IF(C318="每日",D318+1,IF(C318="每週",D318+7,IF(C318="每月",EDATE(D318,1),IF(C318="每季",EDATE(D318,3),IF(C318="每年",EDATE(D318,12),""))))))</f>
        <v/>
      </c>
      <c r="F318" s="21">
        <f>IF(E318="","",IF(E318&lt;TODAY(),"逾期","正常"))</f>
        <v/>
      </c>
      <c r="G318" s="21" t="n"/>
      <c r="H318" s="21" t="n"/>
    </row>
    <row r="319">
      <c r="A319" s="21" t="n"/>
      <c r="B319" s="21" t="n"/>
      <c r="C319" s="21" t="n"/>
      <c r="D319" s="18" t="n"/>
      <c r="E319" s="18">
        <f>IF(D319="","",IF(C319="每日",D319+1,IF(C319="每週",D319+7,IF(C319="每月",EDATE(D319,1),IF(C319="每季",EDATE(D319,3),IF(C319="每年",EDATE(D319,12),""))))))</f>
        <v/>
      </c>
      <c r="F319" s="21">
        <f>IF(E319="","",IF(E319&lt;TODAY(),"逾期","正常"))</f>
        <v/>
      </c>
      <c r="G319" s="21" t="n"/>
      <c r="H319" s="21" t="n"/>
    </row>
    <row r="320">
      <c r="A320" s="21" t="n"/>
      <c r="B320" s="21" t="n"/>
      <c r="C320" s="21" t="n"/>
      <c r="D320" s="18" t="n"/>
      <c r="E320" s="18">
        <f>IF(D320="","",IF(C320="每日",D320+1,IF(C320="每週",D320+7,IF(C320="每月",EDATE(D320,1),IF(C320="每季",EDATE(D320,3),IF(C320="每年",EDATE(D320,12),""))))))</f>
        <v/>
      </c>
      <c r="F320" s="21">
        <f>IF(E320="","",IF(E320&lt;TODAY(),"逾期","正常"))</f>
        <v/>
      </c>
      <c r="G320" s="21" t="n"/>
      <c r="H320" s="21" t="n"/>
    </row>
    <row r="321">
      <c r="A321" s="21" t="n"/>
      <c r="B321" s="21" t="n"/>
      <c r="C321" s="21" t="n"/>
      <c r="D321" s="18" t="n"/>
      <c r="E321" s="18">
        <f>IF(D321="","",IF(C321="每日",D321+1,IF(C321="每週",D321+7,IF(C321="每月",EDATE(D321,1),IF(C321="每季",EDATE(D321,3),IF(C321="每年",EDATE(D321,12),""))))))</f>
        <v/>
      </c>
      <c r="F321" s="21">
        <f>IF(E321="","",IF(E321&lt;TODAY(),"逾期","正常"))</f>
        <v/>
      </c>
      <c r="G321" s="21" t="n"/>
      <c r="H321" s="21" t="n"/>
    </row>
    <row r="322">
      <c r="A322" s="21" t="n"/>
      <c r="B322" s="21" t="n"/>
      <c r="C322" s="21" t="n"/>
      <c r="D322" s="18" t="n"/>
      <c r="E322" s="18">
        <f>IF(D322="","",IF(C322="每日",D322+1,IF(C322="每週",D322+7,IF(C322="每月",EDATE(D322,1),IF(C322="每季",EDATE(D322,3),IF(C322="每年",EDATE(D322,12),""))))))</f>
        <v/>
      </c>
      <c r="F322" s="21">
        <f>IF(E322="","",IF(E322&lt;TODAY(),"逾期","正常"))</f>
        <v/>
      </c>
      <c r="G322" s="21" t="n"/>
      <c r="H322" s="21" t="n"/>
    </row>
    <row r="323">
      <c r="A323" s="21" t="n"/>
      <c r="B323" s="21" t="n"/>
      <c r="C323" s="21" t="n"/>
      <c r="D323" s="18" t="n"/>
      <c r="E323" s="18">
        <f>IF(D323="","",IF(C323="每日",D323+1,IF(C323="每週",D323+7,IF(C323="每月",EDATE(D323,1),IF(C323="每季",EDATE(D323,3),IF(C323="每年",EDATE(D323,12),""))))))</f>
        <v/>
      </c>
      <c r="F323" s="21">
        <f>IF(E323="","",IF(E323&lt;TODAY(),"逾期","正常"))</f>
        <v/>
      </c>
      <c r="G323" s="21" t="n"/>
      <c r="H323" s="21" t="n"/>
    </row>
    <row r="324">
      <c r="A324" s="21" t="n"/>
      <c r="B324" s="21" t="n"/>
      <c r="C324" s="21" t="n"/>
      <c r="D324" s="18" t="n"/>
      <c r="E324" s="18">
        <f>IF(D324="","",IF(C324="每日",D324+1,IF(C324="每週",D324+7,IF(C324="每月",EDATE(D324,1),IF(C324="每季",EDATE(D324,3),IF(C324="每年",EDATE(D324,12),""))))))</f>
        <v/>
      </c>
      <c r="F324" s="21">
        <f>IF(E324="","",IF(E324&lt;TODAY(),"逾期","正常"))</f>
        <v/>
      </c>
      <c r="G324" s="21" t="n"/>
      <c r="H324" s="21" t="n"/>
    </row>
    <row r="325">
      <c r="A325" s="21" t="n"/>
      <c r="B325" s="21" t="n"/>
      <c r="C325" s="21" t="n"/>
      <c r="D325" s="18" t="n"/>
      <c r="E325" s="18">
        <f>IF(D325="","",IF(C325="每日",D325+1,IF(C325="每週",D325+7,IF(C325="每月",EDATE(D325,1),IF(C325="每季",EDATE(D325,3),IF(C325="每年",EDATE(D325,12),""))))))</f>
        <v/>
      </c>
      <c r="F325" s="21">
        <f>IF(E325="","",IF(E325&lt;TODAY(),"逾期","正常"))</f>
        <v/>
      </c>
      <c r="G325" s="21" t="n"/>
      <c r="H325" s="21" t="n"/>
    </row>
    <row r="326">
      <c r="A326" s="21" t="n"/>
      <c r="B326" s="21" t="n"/>
      <c r="C326" s="21" t="n"/>
      <c r="D326" s="18" t="n"/>
      <c r="E326" s="18">
        <f>IF(D326="","",IF(C326="每日",D326+1,IF(C326="每週",D326+7,IF(C326="每月",EDATE(D326,1),IF(C326="每季",EDATE(D326,3),IF(C326="每年",EDATE(D326,12),""))))))</f>
        <v/>
      </c>
      <c r="F326" s="21">
        <f>IF(E326="","",IF(E326&lt;TODAY(),"逾期","正常"))</f>
        <v/>
      </c>
      <c r="G326" s="21" t="n"/>
      <c r="H326" s="21" t="n"/>
    </row>
    <row r="327">
      <c r="A327" s="21" t="n"/>
      <c r="B327" s="21" t="n"/>
      <c r="C327" s="21" t="n"/>
      <c r="D327" s="18" t="n"/>
      <c r="E327" s="18">
        <f>IF(D327="","",IF(C327="每日",D327+1,IF(C327="每週",D327+7,IF(C327="每月",EDATE(D327,1),IF(C327="每季",EDATE(D327,3),IF(C327="每年",EDATE(D327,12),""))))))</f>
        <v/>
      </c>
      <c r="F327" s="21">
        <f>IF(E327="","",IF(E327&lt;TODAY(),"逾期","正常"))</f>
        <v/>
      </c>
      <c r="G327" s="21" t="n"/>
      <c r="H327" s="21" t="n"/>
    </row>
    <row r="328">
      <c r="A328" s="21" t="n"/>
      <c r="B328" s="21" t="n"/>
      <c r="C328" s="21" t="n"/>
      <c r="D328" s="18" t="n"/>
      <c r="E328" s="18">
        <f>IF(D328="","",IF(C328="每日",D328+1,IF(C328="每週",D328+7,IF(C328="每月",EDATE(D328,1),IF(C328="每季",EDATE(D328,3),IF(C328="每年",EDATE(D328,12),""))))))</f>
        <v/>
      </c>
      <c r="F328" s="21">
        <f>IF(E328="","",IF(E328&lt;TODAY(),"逾期","正常"))</f>
        <v/>
      </c>
      <c r="G328" s="21" t="n"/>
      <c r="H328" s="21" t="n"/>
    </row>
    <row r="329">
      <c r="A329" s="21" t="n"/>
      <c r="B329" s="21" t="n"/>
      <c r="C329" s="21" t="n"/>
      <c r="D329" s="18" t="n"/>
      <c r="E329" s="18">
        <f>IF(D329="","",IF(C329="每日",D329+1,IF(C329="每週",D329+7,IF(C329="每月",EDATE(D329,1),IF(C329="每季",EDATE(D329,3),IF(C329="每年",EDATE(D329,12),""))))))</f>
        <v/>
      </c>
      <c r="F329" s="21">
        <f>IF(E329="","",IF(E329&lt;TODAY(),"逾期","正常"))</f>
        <v/>
      </c>
      <c r="G329" s="21" t="n"/>
      <c r="H329" s="21" t="n"/>
    </row>
    <row r="330">
      <c r="A330" s="21" t="n"/>
      <c r="B330" s="21" t="n"/>
      <c r="C330" s="21" t="n"/>
      <c r="D330" s="18" t="n"/>
      <c r="E330" s="18">
        <f>IF(D330="","",IF(C330="每日",D330+1,IF(C330="每週",D330+7,IF(C330="每月",EDATE(D330,1),IF(C330="每季",EDATE(D330,3),IF(C330="每年",EDATE(D330,12),""))))))</f>
        <v/>
      </c>
      <c r="F330" s="21">
        <f>IF(E330="","",IF(E330&lt;TODAY(),"逾期","正常"))</f>
        <v/>
      </c>
      <c r="G330" s="21" t="n"/>
      <c r="H330" s="21" t="n"/>
    </row>
    <row r="331">
      <c r="A331" s="21" t="n"/>
      <c r="B331" s="21" t="n"/>
      <c r="C331" s="21" t="n"/>
      <c r="D331" s="18" t="n"/>
      <c r="E331" s="18">
        <f>IF(D331="","",IF(C331="每日",D331+1,IF(C331="每週",D331+7,IF(C331="每月",EDATE(D331,1),IF(C331="每季",EDATE(D331,3),IF(C331="每年",EDATE(D331,12),""))))))</f>
        <v/>
      </c>
      <c r="F331" s="21">
        <f>IF(E331="","",IF(E331&lt;TODAY(),"逾期","正常"))</f>
        <v/>
      </c>
      <c r="G331" s="21" t="n"/>
      <c r="H331" s="21" t="n"/>
    </row>
    <row r="332">
      <c r="A332" s="21" t="n"/>
      <c r="B332" s="21" t="n"/>
      <c r="C332" s="21" t="n"/>
      <c r="D332" s="18" t="n"/>
      <c r="E332" s="18">
        <f>IF(D332="","",IF(C332="每日",D332+1,IF(C332="每週",D332+7,IF(C332="每月",EDATE(D332,1),IF(C332="每季",EDATE(D332,3),IF(C332="每年",EDATE(D332,12),""))))))</f>
        <v/>
      </c>
      <c r="F332" s="21">
        <f>IF(E332="","",IF(E332&lt;TODAY(),"逾期","正常"))</f>
        <v/>
      </c>
      <c r="G332" s="21" t="n"/>
      <c r="H332" s="21" t="n"/>
    </row>
    <row r="333">
      <c r="A333" s="21" t="n"/>
      <c r="B333" s="21" t="n"/>
      <c r="C333" s="21" t="n"/>
      <c r="D333" s="18" t="n"/>
      <c r="E333" s="18">
        <f>IF(D333="","",IF(C333="每日",D333+1,IF(C333="每週",D333+7,IF(C333="每月",EDATE(D333,1),IF(C333="每季",EDATE(D333,3),IF(C333="每年",EDATE(D333,12),""))))))</f>
        <v/>
      </c>
      <c r="F333" s="21">
        <f>IF(E333="","",IF(E333&lt;TODAY(),"逾期","正常"))</f>
        <v/>
      </c>
      <c r="G333" s="21" t="n"/>
      <c r="H333" s="21" t="n"/>
    </row>
    <row r="334">
      <c r="A334" s="21" t="n"/>
      <c r="B334" s="21" t="n"/>
      <c r="C334" s="21" t="n"/>
      <c r="D334" s="18" t="n"/>
      <c r="E334" s="18">
        <f>IF(D334="","",IF(C334="每日",D334+1,IF(C334="每週",D334+7,IF(C334="每月",EDATE(D334,1),IF(C334="每季",EDATE(D334,3),IF(C334="每年",EDATE(D334,12),""))))))</f>
        <v/>
      </c>
      <c r="F334" s="21">
        <f>IF(E334="","",IF(E334&lt;TODAY(),"逾期","正常"))</f>
        <v/>
      </c>
      <c r="G334" s="21" t="n"/>
      <c r="H334" s="21" t="n"/>
    </row>
    <row r="335">
      <c r="A335" s="21" t="n"/>
      <c r="B335" s="21" t="n"/>
      <c r="C335" s="21" t="n"/>
      <c r="D335" s="18" t="n"/>
      <c r="E335" s="18">
        <f>IF(D335="","",IF(C335="每日",D335+1,IF(C335="每週",D335+7,IF(C335="每月",EDATE(D335,1),IF(C335="每季",EDATE(D335,3),IF(C335="每年",EDATE(D335,12),""))))))</f>
        <v/>
      </c>
      <c r="F335" s="21">
        <f>IF(E335="","",IF(E335&lt;TODAY(),"逾期","正常"))</f>
        <v/>
      </c>
      <c r="G335" s="21" t="n"/>
      <c r="H335" s="21" t="n"/>
    </row>
    <row r="336">
      <c r="A336" s="21" t="n"/>
      <c r="B336" s="21" t="n"/>
      <c r="C336" s="21" t="n"/>
      <c r="D336" s="18" t="n"/>
      <c r="E336" s="18">
        <f>IF(D336="","",IF(C336="每日",D336+1,IF(C336="每週",D336+7,IF(C336="每月",EDATE(D336,1),IF(C336="每季",EDATE(D336,3),IF(C336="每年",EDATE(D336,12),""))))))</f>
        <v/>
      </c>
      <c r="F336" s="21">
        <f>IF(E336="","",IF(E336&lt;TODAY(),"逾期","正常"))</f>
        <v/>
      </c>
      <c r="G336" s="21" t="n"/>
      <c r="H336" s="21" t="n"/>
    </row>
    <row r="337">
      <c r="A337" s="21" t="n"/>
      <c r="B337" s="21" t="n"/>
      <c r="C337" s="21" t="n"/>
      <c r="D337" s="18" t="n"/>
      <c r="E337" s="18">
        <f>IF(D337="","",IF(C337="每日",D337+1,IF(C337="每週",D337+7,IF(C337="每月",EDATE(D337,1),IF(C337="每季",EDATE(D337,3),IF(C337="每年",EDATE(D337,12),""))))))</f>
        <v/>
      </c>
      <c r="F337" s="21">
        <f>IF(E337="","",IF(E337&lt;TODAY(),"逾期","正常"))</f>
        <v/>
      </c>
      <c r="G337" s="21" t="n"/>
      <c r="H337" s="21" t="n"/>
    </row>
    <row r="338">
      <c r="A338" s="21" t="n"/>
      <c r="B338" s="21" t="n"/>
      <c r="C338" s="21" t="n"/>
      <c r="D338" s="18" t="n"/>
      <c r="E338" s="18">
        <f>IF(D338="","",IF(C338="每日",D338+1,IF(C338="每週",D338+7,IF(C338="每月",EDATE(D338,1),IF(C338="每季",EDATE(D338,3),IF(C338="每年",EDATE(D338,12),""))))))</f>
        <v/>
      </c>
      <c r="F338" s="21">
        <f>IF(E338="","",IF(E338&lt;TODAY(),"逾期","正常"))</f>
        <v/>
      </c>
      <c r="G338" s="21" t="n"/>
      <c r="H338" s="21" t="n"/>
    </row>
    <row r="339">
      <c r="A339" s="21" t="n"/>
      <c r="B339" s="21" t="n"/>
      <c r="C339" s="21" t="n"/>
      <c r="D339" s="18" t="n"/>
      <c r="E339" s="18">
        <f>IF(D339="","",IF(C339="每日",D339+1,IF(C339="每週",D339+7,IF(C339="每月",EDATE(D339,1),IF(C339="每季",EDATE(D339,3),IF(C339="每年",EDATE(D339,12),""))))))</f>
        <v/>
      </c>
      <c r="F339" s="21">
        <f>IF(E339="","",IF(E339&lt;TODAY(),"逾期","正常"))</f>
        <v/>
      </c>
      <c r="G339" s="21" t="n"/>
      <c r="H339" s="21" t="n"/>
    </row>
    <row r="340">
      <c r="A340" s="21" t="n"/>
      <c r="B340" s="21" t="n"/>
      <c r="C340" s="21" t="n"/>
      <c r="D340" s="18" t="n"/>
      <c r="E340" s="18">
        <f>IF(D340="","",IF(C340="每日",D340+1,IF(C340="每週",D340+7,IF(C340="每月",EDATE(D340,1),IF(C340="每季",EDATE(D340,3),IF(C340="每年",EDATE(D340,12),""))))))</f>
        <v/>
      </c>
      <c r="F340" s="21">
        <f>IF(E340="","",IF(E340&lt;TODAY(),"逾期","正常"))</f>
        <v/>
      </c>
      <c r="G340" s="21" t="n"/>
      <c r="H340" s="21" t="n"/>
    </row>
    <row r="341">
      <c r="A341" s="21" t="n"/>
      <c r="B341" s="21" t="n"/>
      <c r="C341" s="21" t="n"/>
      <c r="D341" s="18" t="n"/>
      <c r="E341" s="18">
        <f>IF(D341="","",IF(C341="每日",D341+1,IF(C341="每週",D341+7,IF(C341="每月",EDATE(D341,1),IF(C341="每季",EDATE(D341,3),IF(C341="每年",EDATE(D341,12),""))))))</f>
        <v/>
      </c>
      <c r="F341" s="21">
        <f>IF(E341="","",IF(E341&lt;TODAY(),"逾期","正常"))</f>
        <v/>
      </c>
      <c r="G341" s="21" t="n"/>
      <c r="H341" s="21" t="n"/>
    </row>
    <row r="342">
      <c r="A342" s="21" t="n"/>
      <c r="B342" s="21" t="n"/>
      <c r="C342" s="21" t="n"/>
      <c r="D342" s="18" t="n"/>
      <c r="E342" s="18">
        <f>IF(D342="","",IF(C342="每日",D342+1,IF(C342="每週",D342+7,IF(C342="每月",EDATE(D342,1),IF(C342="每季",EDATE(D342,3),IF(C342="每年",EDATE(D342,12),""))))))</f>
        <v/>
      </c>
      <c r="F342" s="21">
        <f>IF(E342="","",IF(E342&lt;TODAY(),"逾期","正常"))</f>
        <v/>
      </c>
      <c r="G342" s="21" t="n"/>
      <c r="H342" s="21" t="n"/>
    </row>
    <row r="343">
      <c r="A343" s="21" t="n"/>
      <c r="B343" s="21" t="n"/>
      <c r="C343" s="21" t="n"/>
      <c r="D343" s="18" t="n"/>
      <c r="E343" s="18">
        <f>IF(D343="","",IF(C343="每日",D343+1,IF(C343="每週",D343+7,IF(C343="每月",EDATE(D343,1),IF(C343="每季",EDATE(D343,3),IF(C343="每年",EDATE(D343,12),""))))))</f>
        <v/>
      </c>
      <c r="F343" s="21">
        <f>IF(E343="","",IF(E343&lt;TODAY(),"逾期","正常"))</f>
        <v/>
      </c>
      <c r="G343" s="21" t="n"/>
      <c r="H343" s="21" t="n"/>
    </row>
    <row r="344">
      <c r="A344" s="21" t="n"/>
      <c r="B344" s="21" t="n"/>
      <c r="C344" s="21" t="n"/>
      <c r="D344" s="18" t="n"/>
      <c r="E344" s="18">
        <f>IF(D344="","",IF(C344="每日",D344+1,IF(C344="每週",D344+7,IF(C344="每月",EDATE(D344,1),IF(C344="每季",EDATE(D344,3),IF(C344="每年",EDATE(D344,12),""))))))</f>
        <v/>
      </c>
      <c r="F344" s="21">
        <f>IF(E344="","",IF(E344&lt;TODAY(),"逾期","正常"))</f>
        <v/>
      </c>
      <c r="G344" s="21" t="n"/>
      <c r="H344" s="21" t="n"/>
    </row>
    <row r="345">
      <c r="A345" s="21" t="n"/>
      <c r="B345" s="21" t="n"/>
      <c r="C345" s="21" t="n"/>
      <c r="D345" s="18" t="n"/>
      <c r="E345" s="18">
        <f>IF(D345="","",IF(C345="每日",D345+1,IF(C345="每週",D345+7,IF(C345="每月",EDATE(D345,1),IF(C345="每季",EDATE(D345,3),IF(C345="每年",EDATE(D345,12),""))))))</f>
        <v/>
      </c>
      <c r="F345" s="21">
        <f>IF(E345="","",IF(E345&lt;TODAY(),"逾期","正常"))</f>
        <v/>
      </c>
      <c r="G345" s="21" t="n"/>
      <c r="H345" s="21" t="n"/>
    </row>
    <row r="346">
      <c r="A346" s="21" t="n"/>
      <c r="B346" s="21" t="n"/>
      <c r="C346" s="21" t="n"/>
      <c r="D346" s="18" t="n"/>
      <c r="E346" s="18">
        <f>IF(D346="","",IF(C346="每日",D346+1,IF(C346="每週",D346+7,IF(C346="每月",EDATE(D346,1),IF(C346="每季",EDATE(D346,3),IF(C346="每年",EDATE(D346,12),""))))))</f>
        <v/>
      </c>
      <c r="F346" s="21">
        <f>IF(E346="","",IF(E346&lt;TODAY(),"逾期","正常"))</f>
        <v/>
      </c>
      <c r="G346" s="21" t="n"/>
      <c r="H346" s="21" t="n"/>
    </row>
    <row r="347">
      <c r="A347" s="21" t="n"/>
      <c r="B347" s="21" t="n"/>
      <c r="C347" s="21" t="n"/>
      <c r="D347" s="18" t="n"/>
      <c r="E347" s="18">
        <f>IF(D347="","",IF(C347="每日",D347+1,IF(C347="每週",D347+7,IF(C347="每月",EDATE(D347,1),IF(C347="每季",EDATE(D347,3),IF(C347="每年",EDATE(D347,12),""))))))</f>
        <v/>
      </c>
      <c r="F347" s="21">
        <f>IF(E347="","",IF(E347&lt;TODAY(),"逾期","正常"))</f>
        <v/>
      </c>
      <c r="G347" s="21" t="n"/>
      <c r="H347" s="21" t="n"/>
    </row>
    <row r="348">
      <c r="A348" s="21" t="n"/>
      <c r="B348" s="21" t="n"/>
      <c r="C348" s="21" t="n"/>
      <c r="D348" s="18" t="n"/>
      <c r="E348" s="18">
        <f>IF(D348="","",IF(C348="每日",D348+1,IF(C348="每週",D348+7,IF(C348="每月",EDATE(D348,1),IF(C348="每季",EDATE(D348,3),IF(C348="每年",EDATE(D348,12),""))))))</f>
        <v/>
      </c>
      <c r="F348" s="21">
        <f>IF(E348="","",IF(E348&lt;TODAY(),"逾期","正常"))</f>
        <v/>
      </c>
      <c r="G348" s="21" t="n"/>
      <c r="H348" s="21" t="n"/>
    </row>
    <row r="349">
      <c r="A349" s="21" t="n"/>
      <c r="B349" s="21" t="n"/>
      <c r="C349" s="21" t="n"/>
      <c r="D349" s="18" t="n"/>
      <c r="E349" s="18">
        <f>IF(D349="","",IF(C349="每日",D349+1,IF(C349="每週",D349+7,IF(C349="每月",EDATE(D349,1),IF(C349="每季",EDATE(D349,3),IF(C349="每年",EDATE(D349,12),""))))))</f>
        <v/>
      </c>
      <c r="F349" s="21">
        <f>IF(E349="","",IF(E349&lt;TODAY(),"逾期","正常"))</f>
        <v/>
      </c>
      <c r="G349" s="21" t="n"/>
      <c r="H349" s="21" t="n"/>
    </row>
    <row r="350">
      <c r="A350" s="21" t="n"/>
      <c r="B350" s="21" t="n"/>
      <c r="C350" s="21" t="n"/>
      <c r="D350" s="18" t="n"/>
      <c r="E350" s="18">
        <f>IF(D350="","",IF(C350="每日",D350+1,IF(C350="每週",D350+7,IF(C350="每月",EDATE(D350,1),IF(C350="每季",EDATE(D350,3),IF(C350="每年",EDATE(D350,12),""))))))</f>
        <v/>
      </c>
      <c r="F350" s="21">
        <f>IF(E350="","",IF(E350&lt;TODAY(),"逾期","正常"))</f>
        <v/>
      </c>
      <c r="G350" s="21" t="n"/>
      <c r="H350" s="21" t="n"/>
    </row>
    <row r="351">
      <c r="A351" s="21" t="n"/>
      <c r="B351" s="21" t="n"/>
      <c r="C351" s="21" t="n"/>
      <c r="D351" s="18" t="n"/>
      <c r="E351" s="18">
        <f>IF(D351="","",IF(C351="每日",D351+1,IF(C351="每週",D351+7,IF(C351="每月",EDATE(D351,1),IF(C351="每季",EDATE(D351,3),IF(C351="每年",EDATE(D351,12),""))))))</f>
        <v/>
      </c>
      <c r="F351" s="21">
        <f>IF(E351="","",IF(E351&lt;TODAY(),"逾期","正常"))</f>
        <v/>
      </c>
      <c r="G351" s="21" t="n"/>
      <c r="H351" s="21" t="n"/>
    </row>
    <row r="352">
      <c r="A352" s="21" t="n"/>
      <c r="B352" s="21" t="n"/>
      <c r="C352" s="21" t="n"/>
      <c r="D352" s="18" t="n"/>
      <c r="E352" s="18">
        <f>IF(D352="","",IF(C352="每日",D352+1,IF(C352="每週",D352+7,IF(C352="每月",EDATE(D352,1),IF(C352="每季",EDATE(D352,3),IF(C352="每年",EDATE(D352,12),""))))))</f>
        <v/>
      </c>
      <c r="F352" s="21">
        <f>IF(E352="","",IF(E352&lt;TODAY(),"逾期","正常"))</f>
        <v/>
      </c>
      <c r="G352" s="21" t="n"/>
      <c r="H352" s="21" t="n"/>
    </row>
    <row r="353">
      <c r="A353" s="21" t="n"/>
      <c r="B353" s="21" t="n"/>
      <c r="C353" s="21" t="n"/>
      <c r="D353" s="18" t="n"/>
      <c r="E353" s="18">
        <f>IF(D353="","",IF(C353="每日",D353+1,IF(C353="每週",D353+7,IF(C353="每月",EDATE(D353,1),IF(C353="每季",EDATE(D353,3),IF(C353="每年",EDATE(D353,12),""))))))</f>
        <v/>
      </c>
      <c r="F353" s="21">
        <f>IF(E353="","",IF(E353&lt;TODAY(),"逾期","正常"))</f>
        <v/>
      </c>
      <c r="G353" s="21" t="n"/>
      <c r="H353" s="21" t="n"/>
    </row>
    <row r="354">
      <c r="A354" s="21" t="n"/>
      <c r="B354" s="21" t="n"/>
      <c r="C354" s="21" t="n"/>
      <c r="D354" s="18" t="n"/>
      <c r="E354" s="18">
        <f>IF(D354="","",IF(C354="每日",D354+1,IF(C354="每週",D354+7,IF(C354="每月",EDATE(D354,1),IF(C354="每季",EDATE(D354,3),IF(C354="每年",EDATE(D354,12),""))))))</f>
        <v/>
      </c>
      <c r="F354" s="21">
        <f>IF(E354="","",IF(E354&lt;TODAY(),"逾期","正常"))</f>
        <v/>
      </c>
      <c r="G354" s="21" t="n"/>
      <c r="H354" s="21" t="n"/>
    </row>
    <row r="355">
      <c r="A355" s="21" t="n"/>
      <c r="B355" s="21" t="n"/>
      <c r="C355" s="21" t="n"/>
      <c r="D355" s="18" t="n"/>
      <c r="E355" s="18">
        <f>IF(D355="","",IF(C355="每日",D355+1,IF(C355="每週",D355+7,IF(C355="每月",EDATE(D355,1),IF(C355="每季",EDATE(D355,3),IF(C355="每年",EDATE(D355,12),""))))))</f>
        <v/>
      </c>
      <c r="F355" s="21">
        <f>IF(E355="","",IF(E355&lt;TODAY(),"逾期","正常"))</f>
        <v/>
      </c>
      <c r="G355" s="21" t="n"/>
      <c r="H355" s="21" t="n"/>
    </row>
    <row r="356">
      <c r="A356" s="21" t="n"/>
      <c r="B356" s="21" t="n"/>
      <c r="C356" s="21" t="n"/>
      <c r="D356" s="18" t="n"/>
      <c r="E356" s="18">
        <f>IF(D356="","",IF(C356="每日",D356+1,IF(C356="每週",D356+7,IF(C356="每月",EDATE(D356,1),IF(C356="每季",EDATE(D356,3),IF(C356="每年",EDATE(D356,12),""))))))</f>
        <v/>
      </c>
      <c r="F356" s="21">
        <f>IF(E356="","",IF(E356&lt;TODAY(),"逾期","正常"))</f>
        <v/>
      </c>
      <c r="G356" s="21" t="n"/>
      <c r="H356" s="21" t="n"/>
    </row>
    <row r="357">
      <c r="A357" s="21" t="n"/>
      <c r="B357" s="21" t="n"/>
      <c r="C357" s="21" t="n"/>
      <c r="D357" s="18" t="n"/>
      <c r="E357" s="18">
        <f>IF(D357="","",IF(C357="每日",D357+1,IF(C357="每週",D357+7,IF(C357="每月",EDATE(D357,1),IF(C357="每季",EDATE(D357,3),IF(C357="每年",EDATE(D357,12),""))))))</f>
        <v/>
      </c>
      <c r="F357" s="21">
        <f>IF(E357="","",IF(E357&lt;TODAY(),"逾期","正常"))</f>
        <v/>
      </c>
      <c r="G357" s="21" t="n"/>
      <c r="H357" s="21" t="n"/>
    </row>
    <row r="358">
      <c r="A358" s="21" t="n"/>
      <c r="B358" s="21" t="n"/>
      <c r="C358" s="21" t="n"/>
      <c r="D358" s="18" t="n"/>
      <c r="E358" s="18">
        <f>IF(D358="","",IF(C358="每日",D358+1,IF(C358="每週",D358+7,IF(C358="每月",EDATE(D358,1),IF(C358="每季",EDATE(D358,3),IF(C358="每年",EDATE(D358,12),""))))))</f>
        <v/>
      </c>
      <c r="F358" s="21">
        <f>IF(E358="","",IF(E358&lt;TODAY(),"逾期","正常"))</f>
        <v/>
      </c>
      <c r="G358" s="21" t="n"/>
      <c r="H358" s="21" t="n"/>
    </row>
    <row r="359">
      <c r="A359" s="21" t="n"/>
      <c r="B359" s="21" t="n"/>
      <c r="C359" s="21" t="n"/>
      <c r="D359" s="18" t="n"/>
      <c r="E359" s="18">
        <f>IF(D359="","",IF(C359="每日",D359+1,IF(C359="每週",D359+7,IF(C359="每月",EDATE(D359,1),IF(C359="每季",EDATE(D359,3),IF(C359="每年",EDATE(D359,12),""))))))</f>
        <v/>
      </c>
      <c r="F359" s="21">
        <f>IF(E359="","",IF(E359&lt;TODAY(),"逾期","正常"))</f>
        <v/>
      </c>
      <c r="G359" s="21" t="n"/>
      <c r="H359" s="21" t="n"/>
    </row>
    <row r="360">
      <c r="A360" s="21" t="n"/>
      <c r="B360" s="21" t="n"/>
      <c r="C360" s="21" t="n"/>
      <c r="D360" s="18" t="n"/>
      <c r="E360" s="18">
        <f>IF(D360="","",IF(C360="每日",D360+1,IF(C360="每週",D360+7,IF(C360="每月",EDATE(D360,1),IF(C360="每季",EDATE(D360,3),IF(C360="每年",EDATE(D360,12),""))))))</f>
        <v/>
      </c>
      <c r="F360" s="21">
        <f>IF(E360="","",IF(E360&lt;TODAY(),"逾期","正常"))</f>
        <v/>
      </c>
      <c r="G360" s="21" t="n"/>
      <c r="H360" s="21" t="n"/>
    </row>
    <row r="361">
      <c r="A361" s="21" t="n"/>
      <c r="B361" s="21" t="n"/>
      <c r="C361" s="21" t="n"/>
      <c r="D361" s="18" t="n"/>
      <c r="E361" s="18">
        <f>IF(D361="","",IF(C361="每日",D361+1,IF(C361="每週",D361+7,IF(C361="每月",EDATE(D361,1),IF(C361="每季",EDATE(D361,3),IF(C361="每年",EDATE(D361,12),""))))))</f>
        <v/>
      </c>
      <c r="F361" s="21">
        <f>IF(E361="","",IF(E361&lt;TODAY(),"逾期","正常"))</f>
        <v/>
      </c>
      <c r="G361" s="21" t="n"/>
      <c r="H361" s="21" t="n"/>
    </row>
    <row r="362">
      <c r="A362" s="21" t="n"/>
      <c r="B362" s="21" t="n"/>
      <c r="C362" s="21" t="n"/>
      <c r="D362" s="18" t="n"/>
      <c r="E362" s="18">
        <f>IF(D362="","",IF(C362="每日",D362+1,IF(C362="每週",D362+7,IF(C362="每月",EDATE(D362,1),IF(C362="每季",EDATE(D362,3),IF(C362="每年",EDATE(D362,12),""))))))</f>
        <v/>
      </c>
      <c r="F362" s="21">
        <f>IF(E362="","",IF(E362&lt;TODAY(),"逾期","正常"))</f>
        <v/>
      </c>
      <c r="G362" s="21" t="n"/>
      <c r="H362" s="21" t="n"/>
    </row>
    <row r="363">
      <c r="A363" s="21" t="n"/>
      <c r="B363" s="21" t="n"/>
      <c r="C363" s="21" t="n"/>
      <c r="D363" s="18" t="n"/>
      <c r="E363" s="18">
        <f>IF(D363="","",IF(C363="每日",D363+1,IF(C363="每週",D363+7,IF(C363="每月",EDATE(D363,1),IF(C363="每季",EDATE(D363,3),IF(C363="每年",EDATE(D363,12),""))))))</f>
        <v/>
      </c>
      <c r="F363" s="21">
        <f>IF(E363="","",IF(E363&lt;TODAY(),"逾期","正常"))</f>
        <v/>
      </c>
      <c r="G363" s="21" t="n"/>
      <c r="H363" s="21" t="n"/>
    </row>
    <row r="364">
      <c r="A364" s="21" t="n"/>
      <c r="B364" s="21" t="n"/>
      <c r="C364" s="21" t="n"/>
      <c r="D364" s="18" t="n"/>
      <c r="E364" s="18">
        <f>IF(D364="","",IF(C364="每日",D364+1,IF(C364="每週",D364+7,IF(C364="每月",EDATE(D364,1),IF(C364="每季",EDATE(D364,3),IF(C364="每年",EDATE(D364,12),""))))))</f>
        <v/>
      </c>
      <c r="F364" s="21">
        <f>IF(E364="","",IF(E364&lt;TODAY(),"逾期","正常"))</f>
        <v/>
      </c>
      <c r="G364" s="21" t="n"/>
      <c r="H364" s="21" t="n"/>
    </row>
    <row r="365">
      <c r="A365" s="21" t="n"/>
      <c r="B365" s="21" t="n"/>
      <c r="C365" s="21" t="n"/>
      <c r="D365" s="18" t="n"/>
      <c r="E365" s="18">
        <f>IF(D365="","",IF(C365="每日",D365+1,IF(C365="每週",D365+7,IF(C365="每月",EDATE(D365,1),IF(C365="每季",EDATE(D365,3),IF(C365="每年",EDATE(D365,12),""))))))</f>
        <v/>
      </c>
      <c r="F365" s="21">
        <f>IF(E365="","",IF(E365&lt;TODAY(),"逾期","正常"))</f>
        <v/>
      </c>
      <c r="G365" s="21" t="n"/>
      <c r="H365" s="21" t="n"/>
    </row>
    <row r="366">
      <c r="A366" s="21" t="n"/>
      <c r="B366" s="21" t="n"/>
      <c r="C366" s="21" t="n"/>
      <c r="D366" s="18" t="n"/>
      <c r="E366" s="18">
        <f>IF(D366="","",IF(C366="每日",D366+1,IF(C366="每週",D366+7,IF(C366="每月",EDATE(D366,1),IF(C366="每季",EDATE(D366,3),IF(C366="每年",EDATE(D366,12),""))))))</f>
        <v/>
      </c>
      <c r="F366" s="21">
        <f>IF(E366="","",IF(E366&lt;TODAY(),"逾期","正常"))</f>
        <v/>
      </c>
      <c r="G366" s="21" t="n"/>
      <c r="H366" s="21" t="n"/>
    </row>
    <row r="367">
      <c r="A367" s="21" t="n"/>
      <c r="B367" s="21" t="n"/>
      <c r="C367" s="21" t="n"/>
      <c r="D367" s="18" t="n"/>
      <c r="E367" s="18">
        <f>IF(D367="","",IF(C367="每日",D367+1,IF(C367="每週",D367+7,IF(C367="每月",EDATE(D367,1),IF(C367="每季",EDATE(D367,3),IF(C367="每年",EDATE(D367,12),""))))))</f>
        <v/>
      </c>
      <c r="F367" s="21">
        <f>IF(E367="","",IF(E367&lt;TODAY(),"逾期","正常"))</f>
        <v/>
      </c>
      <c r="G367" s="21" t="n"/>
      <c r="H367" s="21" t="n"/>
    </row>
    <row r="368">
      <c r="A368" s="21" t="n"/>
      <c r="B368" s="21" t="n"/>
      <c r="C368" s="21" t="n"/>
      <c r="D368" s="18" t="n"/>
      <c r="E368" s="18">
        <f>IF(D368="","",IF(C368="每日",D368+1,IF(C368="每週",D368+7,IF(C368="每月",EDATE(D368,1),IF(C368="每季",EDATE(D368,3),IF(C368="每年",EDATE(D368,12),""))))))</f>
        <v/>
      </c>
      <c r="F368" s="21">
        <f>IF(E368="","",IF(E368&lt;TODAY(),"逾期","正常"))</f>
        <v/>
      </c>
      <c r="G368" s="21" t="n"/>
      <c r="H368" s="21" t="n"/>
    </row>
    <row r="369">
      <c r="A369" s="21" t="n"/>
      <c r="B369" s="21" t="n"/>
      <c r="C369" s="21" t="n"/>
      <c r="D369" s="18" t="n"/>
      <c r="E369" s="18">
        <f>IF(D369="","",IF(C369="每日",D369+1,IF(C369="每週",D369+7,IF(C369="每月",EDATE(D369,1),IF(C369="每季",EDATE(D369,3),IF(C369="每年",EDATE(D369,12),""))))))</f>
        <v/>
      </c>
      <c r="F369" s="21">
        <f>IF(E369="","",IF(E369&lt;TODAY(),"逾期","正常"))</f>
        <v/>
      </c>
      <c r="G369" s="21" t="n"/>
      <c r="H369" s="21" t="n"/>
    </row>
    <row r="370">
      <c r="A370" s="21" t="n"/>
      <c r="B370" s="21" t="n"/>
      <c r="C370" s="21" t="n"/>
      <c r="D370" s="18" t="n"/>
      <c r="E370" s="18">
        <f>IF(D370="","",IF(C370="每日",D370+1,IF(C370="每週",D370+7,IF(C370="每月",EDATE(D370,1),IF(C370="每季",EDATE(D370,3),IF(C370="每年",EDATE(D370,12),""))))))</f>
        <v/>
      </c>
      <c r="F370" s="21">
        <f>IF(E370="","",IF(E370&lt;TODAY(),"逾期","正常"))</f>
        <v/>
      </c>
      <c r="G370" s="21" t="n"/>
      <c r="H370" s="21" t="n"/>
    </row>
    <row r="371">
      <c r="A371" s="21" t="n"/>
      <c r="B371" s="21" t="n"/>
      <c r="C371" s="21" t="n"/>
      <c r="D371" s="18" t="n"/>
      <c r="E371" s="18">
        <f>IF(D371="","",IF(C371="每日",D371+1,IF(C371="每週",D371+7,IF(C371="每月",EDATE(D371,1),IF(C371="每季",EDATE(D371,3),IF(C371="每年",EDATE(D371,12),""))))))</f>
        <v/>
      </c>
      <c r="F371" s="21">
        <f>IF(E371="","",IF(E371&lt;TODAY(),"逾期","正常"))</f>
        <v/>
      </c>
      <c r="G371" s="21" t="n"/>
      <c r="H371" s="21" t="n"/>
    </row>
    <row r="372">
      <c r="A372" s="21" t="n"/>
      <c r="B372" s="21" t="n"/>
      <c r="C372" s="21" t="n"/>
      <c r="D372" s="18" t="n"/>
      <c r="E372" s="18">
        <f>IF(D372="","",IF(C372="每日",D372+1,IF(C372="每週",D372+7,IF(C372="每月",EDATE(D372,1),IF(C372="每季",EDATE(D372,3),IF(C372="每年",EDATE(D372,12),""))))))</f>
        <v/>
      </c>
      <c r="F372" s="21">
        <f>IF(E372="","",IF(E372&lt;TODAY(),"逾期","正常"))</f>
        <v/>
      </c>
      <c r="G372" s="21" t="n"/>
      <c r="H372" s="21" t="n"/>
    </row>
    <row r="373">
      <c r="A373" s="21" t="n"/>
      <c r="B373" s="21" t="n"/>
      <c r="C373" s="21" t="n"/>
      <c r="D373" s="18" t="n"/>
      <c r="E373" s="18">
        <f>IF(D373="","",IF(C373="每日",D373+1,IF(C373="每週",D373+7,IF(C373="每月",EDATE(D373,1),IF(C373="每季",EDATE(D373,3),IF(C373="每年",EDATE(D373,12),""))))))</f>
        <v/>
      </c>
      <c r="F373" s="21">
        <f>IF(E373="","",IF(E373&lt;TODAY(),"逾期","正常"))</f>
        <v/>
      </c>
      <c r="G373" s="21" t="n"/>
      <c r="H373" s="21" t="n"/>
    </row>
    <row r="374">
      <c r="A374" s="21" t="n"/>
      <c r="B374" s="21" t="n"/>
      <c r="C374" s="21" t="n"/>
      <c r="D374" s="18" t="n"/>
      <c r="E374" s="18">
        <f>IF(D374="","",IF(C374="每日",D374+1,IF(C374="每週",D374+7,IF(C374="每月",EDATE(D374,1),IF(C374="每季",EDATE(D374,3),IF(C374="每年",EDATE(D374,12),""))))))</f>
        <v/>
      </c>
      <c r="F374" s="21">
        <f>IF(E374="","",IF(E374&lt;TODAY(),"逾期","正常"))</f>
        <v/>
      </c>
      <c r="G374" s="21" t="n"/>
      <c r="H374" s="21" t="n"/>
    </row>
    <row r="375">
      <c r="A375" s="21" t="n"/>
      <c r="B375" s="21" t="n"/>
      <c r="C375" s="21" t="n"/>
      <c r="D375" s="18" t="n"/>
      <c r="E375" s="18">
        <f>IF(D375="","",IF(C375="每日",D375+1,IF(C375="每週",D375+7,IF(C375="每月",EDATE(D375,1),IF(C375="每季",EDATE(D375,3),IF(C375="每年",EDATE(D375,12),""))))))</f>
        <v/>
      </c>
      <c r="F375" s="21">
        <f>IF(E375="","",IF(E375&lt;TODAY(),"逾期","正常"))</f>
        <v/>
      </c>
      <c r="G375" s="21" t="n"/>
      <c r="H375" s="21" t="n"/>
    </row>
    <row r="376">
      <c r="A376" s="21" t="n"/>
      <c r="B376" s="21" t="n"/>
      <c r="C376" s="21" t="n"/>
      <c r="D376" s="18" t="n"/>
      <c r="E376" s="18">
        <f>IF(D376="","",IF(C376="每日",D376+1,IF(C376="每週",D376+7,IF(C376="每月",EDATE(D376,1),IF(C376="每季",EDATE(D376,3),IF(C376="每年",EDATE(D376,12),""))))))</f>
        <v/>
      </c>
      <c r="F376" s="21">
        <f>IF(E376="","",IF(E376&lt;TODAY(),"逾期","正常"))</f>
        <v/>
      </c>
      <c r="G376" s="21" t="n"/>
      <c r="H376" s="21" t="n"/>
    </row>
    <row r="377">
      <c r="A377" s="21" t="n"/>
      <c r="B377" s="21" t="n"/>
      <c r="C377" s="21" t="n"/>
      <c r="D377" s="18" t="n"/>
      <c r="E377" s="18">
        <f>IF(D377="","",IF(C377="每日",D377+1,IF(C377="每週",D377+7,IF(C377="每月",EDATE(D377,1),IF(C377="每季",EDATE(D377,3),IF(C377="每年",EDATE(D377,12),""))))))</f>
        <v/>
      </c>
      <c r="F377" s="21">
        <f>IF(E377="","",IF(E377&lt;TODAY(),"逾期","正常"))</f>
        <v/>
      </c>
      <c r="G377" s="21" t="n"/>
      <c r="H377" s="21" t="n"/>
    </row>
    <row r="378">
      <c r="A378" s="21" t="n"/>
      <c r="B378" s="21" t="n"/>
      <c r="C378" s="21" t="n"/>
      <c r="D378" s="18" t="n"/>
      <c r="E378" s="18">
        <f>IF(D378="","",IF(C378="每日",D378+1,IF(C378="每週",D378+7,IF(C378="每月",EDATE(D378,1),IF(C378="每季",EDATE(D378,3),IF(C378="每年",EDATE(D378,12),""))))))</f>
        <v/>
      </c>
      <c r="F378" s="21">
        <f>IF(E378="","",IF(E378&lt;TODAY(),"逾期","正常"))</f>
        <v/>
      </c>
      <c r="G378" s="21" t="n"/>
      <c r="H378" s="21" t="n"/>
    </row>
    <row r="379">
      <c r="A379" s="21" t="n"/>
      <c r="B379" s="21" t="n"/>
      <c r="C379" s="21" t="n"/>
      <c r="D379" s="18" t="n"/>
      <c r="E379" s="18">
        <f>IF(D379="","",IF(C379="每日",D379+1,IF(C379="每週",D379+7,IF(C379="每月",EDATE(D379,1),IF(C379="每季",EDATE(D379,3),IF(C379="每年",EDATE(D379,12),""))))))</f>
        <v/>
      </c>
      <c r="F379" s="21">
        <f>IF(E379="","",IF(E379&lt;TODAY(),"逾期","正常"))</f>
        <v/>
      </c>
      <c r="G379" s="21" t="n"/>
      <c r="H379" s="21" t="n"/>
    </row>
    <row r="380">
      <c r="A380" s="21" t="n"/>
      <c r="B380" s="21" t="n"/>
      <c r="C380" s="21" t="n"/>
      <c r="D380" s="18" t="n"/>
      <c r="E380" s="18">
        <f>IF(D380="","",IF(C380="每日",D380+1,IF(C380="每週",D380+7,IF(C380="每月",EDATE(D380,1),IF(C380="每季",EDATE(D380,3),IF(C380="每年",EDATE(D380,12),""))))))</f>
        <v/>
      </c>
      <c r="F380" s="21">
        <f>IF(E380="","",IF(E380&lt;TODAY(),"逾期","正常"))</f>
        <v/>
      </c>
      <c r="G380" s="21" t="n"/>
      <c r="H380" s="21" t="n"/>
    </row>
    <row r="381">
      <c r="A381" s="21" t="n"/>
      <c r="B381" s="21" t="n"/>
      <c r="C381" s="21" t="n"/>
      <c r="D381" s="18" t="n"/>
      <c r="E381" s="18">
        <f>IF(D381="","",IF(C381="每日",D381+1,IF(C381="每週",D381+7,IF(C381="每月",EDATE(D381,1),IF(C381="每季",EDATE(D381,3),IF(C381="每年",EDATE(D381,12),""))))))</f>
        <v/>
      </c>
      <c r="F381" s="21">
        <f>IF(E381="","",IF(E381&lt;TODAY(),"逾期","正常"))</f>
        <v/>
      </c>
      <c r="G381" s="21" t="n"/>
      <c r="H381" s="21" t="n"/>
    </row>
    <row r="382">
      <c r="A382" s="21" t="n"/>
      <c r="B382" s="21" t="n"/>
      <c r="C382" s="21" t="n"/>
      <c r="D382" s="18" t="n"/>
      <c r="E382" s="18">
        <f>IF(D382="","",IF(C382="每日",D382+1,IF(C382="每週",D382+7,IF(C382="每月",EDATE(D382,1),IF(C382="每季",EDATE(D382,3),IF(C382="每年",EDATE(D382,12),""))))))</f>
        <v/>
      </c>
      <c r="F382" s="21">
        <f>IF(E382="","",IF(E382&lt;TODAY(),"逾期","正常"))</f>
        <v/>
      </c>
      <c r="G382" s="21" t="n"/>
      <c r="H382" s="21" t="n"/>
    </row>
    <row r="383">
      <c r="A383" s="21" t="n"/>
      <c r="B383" s="21" t="n"/>
      <c r="C383" s="21" t="n"/>
      <c r="D383" s="18" t="n"/>
      <c r="E383" s="18">
        <f>IF(D383="","",IF(C383="每日",D383+1,IF(C383="每週",D383+7,IF(C383="每月",EDATE(D383,1),IF(C383="每季",EDATE(D383,3),IF(C383="每年",EDATE(D383,12),""))))))</f>
        <v/>
      </c>
      <c r="F383" s="21">
        <f>IF(E383="","",IF(E383&lt;TODAY(),"逾期","正常"))</f>
        <v/>
      </c>
      <c r="G383" s="21" t="n"/>
      <c r="H383" s="21" t="n"/>
    </row>
    <row r="384">
      <c r="A384" s="21" t="n"/>
      <c r="B384" s="21" t="n"/>
      <c r="C384" s="21" t="n"/>
      <c r="D384" s="18" t="n"/>
      <c r="E384" s="18">
        <f>IF(D384="","",IF(C384="每日",D384+1,IF(C384="每週",D384+7,IF(C384="每月",EDATE(D384,1),IF(C384="每季",EDATE(D384,3),IF(C384="每年",EDATE(D384,12),""))))))</f>
        <v/>
      </c>
      <c r="F384" s="21">
        <f>IF(E384="","",IF(E384&lt;TODAY(),"逾期","正常"))</f>
        <v/>
      </c>
      <c r="G384" s="21" t="n"/>
      <c r="H384" s="21" t="n"/>
    </row>
    <row r="385">
      <c r="A385" s="21" t="n"/>
      <c r="B385" s="21" t="n"/>
      <c r="C385" s="21" t="n"/>
      <c r="D385" s="18" t="n"/>
      <c r="E385" s="18">
        <f>IF(D385="","",IF(C385="每日",D385+1,IF(C385="每週",D385+7,IF(C385="每月",EDATE(D385,1),IF(C385="每季",EDATE(D385,3),IF(C385="每年",EDATE(D385,12),""))))))</f>
        <v/>
      </c>
      <c r="F385" s="21">
        <f>IF(E385="","",IF(E385&lt;TODAY(),"逾期","正常"))</f>
        <v/>
      </c>
      <c r="G385" s="21" t="n"/>
      <c r="H385" s="21" t="n"/>
    </row>
    <row r="386">
      <c r="A386" s="21" t="n"/>
      <c r="B386" s="21" t="n"/>
      <c r="C386" s="21" t="n"/>
      <c r="D386" s="18" t="n"/>
      <c r="E386" s="18">
        <f>IF(D386="","",IF(C386="每日",D386+1,IF(C386="每週",D386+7,IF(C386="每月",EDATE(D386,1),IF(C386="每季",EDATE(D386,3),IF(C386="每年",EDATE(D386,12),""))))))</f>
        <v/>
      </c>
      <c r="F386" s="21">
        <f>IF(E386="","",IF(E386&lt;TODAY(),"逾期","正常"))</f>
        <v/>
      </c>
      <c r="G386" s="21" t="n"/>
      <c r="H386" s="21" t="n"/>
    </row>
    <row r="387">
      <c r="A387" s="21" t="n"/>
      <c r="B387" s="21" t="n"/>
      <c r="C387" s="21" t="n"/>
      <c r="D387" s="18" t="n"/>
      <c r="E387" s="18">
        <f>IF(D387="","",IF(C387="每日",D387+1,IF(C387="每週",D387+7,IF(C387="每月",EDATE(D387,1),IF(C387="每季",EDATE(D387,3),IF(C387="每年",EDATE(D387,12),""))))))</f>
        <v/>
      </c>
      <c r="F387" s="21">
        <f>IF(E387="","",IF(E387&lt;TODAY(),"逾期","正常"))</f>
        <v/>
      </c>
      <c r="G387" s="21" t="n"/>
      <c r="H387" s="21" t="n"/>
    </row>
    <row r="388">
      <c r="A388" s="21" t="n"/>
      <c r="B388" s="21" t="n"/>
      <c r="C388" s="21" t="n"/>
      <c r="D388" s="18" t="n"/>
      <c r="E388" s="18">
        <f>IF(D388="","",IF(C388="每日",D388+1,IF(C388="每週",D388+7,IF(C388="每月",EDATE(D388,1),IF(C388="每季",EDATE(D388,3),IF(C388="每年",EDATE(D388,12),""))))))</f>
        <v/>
      </c>
      <c r="F388" s="21">
        <f>IF(E388="","",IF(E388&lt;TODAY(),"逾期","正常"))</f>
        <v/>
      </c>
      <c r="G388" s="21" t="n"/>
      <c r="H388" s="21" t="n"/>
    </row>
    <row r="389">
      <c r="A389" s="21" t="n"/>
      <c r="B389" s="21" t="n"/>
      <c r="C389" s="21" t="n"/>
      <c r="D389" s="18" t="n"/>
      <c r="E389" s="18">
        <f>IF(D389="","",IF(C389="每日",D389+1,IF(C389="每週",D389+7,IF(C389="每月",EDATE(D389,1),IF(C389="每季",EDATE(D389,3),IF(C389="每年",EDATE(D389,12),""))))))</f>
        <v/>
      </c>
      <c r="F389" s="21">
        <f>IF(E389="","",IF(E389&lt;TODAY(),"逾期","正常"))</f>
        <v/>
      </c>
      <c r="G389" s="21" t="n"/>
      <c r="H389" s="21" t="n"/>
    </row>
    <row r="390">
      <c r="A390" s="21" t="n"/>
      <c r="B390" s="21" t="n"/>
      <c r="C390" s="21" t="n"/>
      <c r="D390" s="18" t="n"/>
      <c r="E390" s="18">
        <f>IF(D390="","",IF(C390="每日",D390+1,IF(C390="每週",D390+7,IF(C390="每月",EDATE(D390,1),IF(C390="每季",EDATE(D390,3),IF(C390="每年",EDATE(D390,12),""))))))</f>
        <v/>
      </c>
      <c r="F390" s="21">
        <f>IF(E390="","",IF(E390&lt;TODAY(),"逾期","正常"))</f>
        <v/>
      </c>
      <c r="G390" s="21" t="n"/>
      <c r="H390" s="21" t="n"/>
    </row>
    <row r="391">
      <c r="A391" s="21" t="n"/>
      <c r="B391" s="21" t="n"/>
      <c r="C391" s="21" t="n"/>
      <c r="D391" s="18" t="n"/>
      <c r="E391" s="18">
        <f>IF(D391="","",IF(C391="每日",D391+1,IF(C391="每週",D391+7,IF(C391="每月",EDATE(D391,1),IF(C391="每季",EDATE(D391,3),IF(C391="每年",EDATE(D391,12),""))))))</f>
        <v/>
      </c>
      <c r="F391" s="21">
        <f>IF(E391="","",IF(E391&lt;TODAY(),"逾期","正常"))</f>
        <v/>
      </c>
      <c r="G391" s="21" t="n"/>
      <c r="H391" s="21" t="n"/>
    </row>
    <row r="392">
      <c r="A392" s="21" t="n"/>
      <c r="B392" s="21" t="n"/>
      <c r="C392" s="21" t="n"/>
      <c r="D392" s="18" t="n"/>
      <c r="E392" s="18">
        <f>IF(D392="","",IF(C392="每日",D392+1,IF(C392="每週",D392+7,IF(C392="每月",EDATE(D392,1),IF(C392="每季",EDATE(D392,3),IF(C392="每年",EDATE(D392,12),""))))))</f>
        <v/>
      </c>
      <c r="F392" s="21">
        <f>IF(E392="","",IF(E392&lt;TODAY(),"逾期","正常"))</f>
        <v/>
      </c>
      <c r="G392" s="21" t="n"/>
      <c r="H392" s="21" t="n"/>
    </row>
    <row r="393">
      <c r="A393" s="21" t="n"/>
      <c r="B393" s="21" t="n"/>
      <c r="C393" s="21" t="n"/>
      <c r="D393" s="18" t="n"/>
      <c r="E393" s="18">
        <f>IF(D393="","",IF(C393="每日",D393+1,IF(C393="每週",D393+7,IF(C393="每月",EDATE(D393,1),IF(C393="每季",EDATE(D393,3),IF(C393="每年",EDATE(D393,12),""))))))</f>
        <v/>
      </c>
      <c r="F393" s="21">
        <f>IF(E393="","",IF(E393&lt;TODAY(),"逾期","正常"))</f>
        <v/>
      </c>
      <c r="G393" s="21" t="n"/>
      <c r="H393" s="21" t="n"/>
    </row>
    <row r="394">
      <c r="A394" s="21" t="n"/>
      <c r="B394" s="21" t="n"/>
      <c r="C394" s="21" t="n"/>
      <c r="D394" s="18" t="n"/>
      <c r="E394" s="18">
        <f>IF(D394="","",IF(C394="每日",D394+1,IF(C394="每週",D394+7,IF(C394="每月",EDATE(D394,1),IF(C394="每季",EDATE(D394,3),IF(C394="每年",EDATE(D394,12),""))))))</f>
        <v/>
      </c>
      <c r="F394" s="21">
        <f>IF(E394="","",IF(E394&lt;TODAY(),"逾期","正常"))</f>
        <v/>
      </c>
      <c r="G394" s="21" t="n"/>
      <c r="H394" s="21" t="n"/>
    </row>
    <row r="395">
      <c r="A395" s="21" t="n"/>
      <c r="B395" s="21" t="n"/>
      <c r="C395" s="21" t="n"/>
      <c r="D395" s="18" t="n"/>
      <c r="E395" s="18">
        <f>IF(D395="","",IF(C395="每日",D395+1,IF(C395="每週",D395+7,IF(C395="每月",EDATE(D395,1),IF(C395="每季",EDATE(D395,3),IF(C395="每年",EDATE(D395,12),""))))))</f>
        <v/>
      </c>
      <c r="F395" s="21">
        <f>IF(E395="","",IF(E395&lt;TODAY(),"逾期","正常"))</f>
        <v/>
      </c>
      <c r="G395" s="21" t="n"/>
      <c r="H395" s="21" t="n"/>
    </row>
    <row r="396">
      <c r="A396" s="21" t="n"/>
      <c r="B396" s="21" t="n"/>
      <c r="C396" s="21" t="n"/>
      <c r="D396" s="18" t="n"/>
      <c r="E396" s="18">
        <f>IF(D396="","",IF(C396="每日",D396+1,IF(C396="每週",D396+7,IF(C396="每月",EDATE(D396,1),IF(C396="每季",EDATE(D396,3),IF(C396="每年",EDATE(D396,12),""))))))</f>
        <v/>
      </c>
      <c r="F396" s="21">
        <f>IF(E396="","",IF(E396&lt;TODAY(),"逾期","正常"))</f>
        <v/>
      </c>
      <c r="G396" s="21" t="n"/>
      <c r="H396" s="21" t="n"/>
    </row>
    <row r="397">
      <c r="A397" s="21" t="n"/>
      <c r="B397" s="21" t="n"/>
      <c r="C397" s="21" t="n"/>
      <c r="D397" s="18" t="n"/>
      <c r="E397" s="18">
        <f>IF(D397="","",IF(C397="每日",D397+1,IF(C397="每週",D397+7,IF(C397="每月",EDATE(D397,1),IF(C397="每季",EDATE(D397,3),IF(C397="每年",EDATE(D397,12),""))))))</f>
        <v/>
      </c>
      <c r="F397" s="21">
        <f>IF(E397="","",IF(E397&lt;TODAY(),"逾期","正常"))</f>
        <v/>
      </c>
      <c r="G397" s="21" t="n"/>
      <c r="H397" s="21" t="n"/>
    </row>
    <row r="398">
      <c r="A398" s="21" t="n"/>
      <c r="B398" s="21" t="n"/>
      <c r="C398" s="21" t="n"/>
      <c r="D398" s="18" t="n"/>
      <c r="E398" s="18">
        <f>IF(D398="","",IF(C398="每日",D398+1,IF(C398="每週",D398+7,IF(C398="每月",EDATE(D398,1),IF(C398="每季",EDATE(D398,3),IF(C398="每年",EDATE(D398,12),""))))))</f>
        <v/>
      </c>
      <c r="F398" s="21">
        <f>IF(E398="","",IF(E398&lt;TODAY(),"逾期","正常"))</f>
        <v/>
      </c>
      <c r="G398" s="21" t="n"/>
      <c r="H398" s="21" t="n"/>
    </row>
    <row r="399">
      <c r="A399" s="21" t="n"/>
      <c r="B399" s="21" t="n"/>
      <c r="C399" s="21" t="n"/>
      <c r="D399" s="18" t="n"/>
      <c r="E399" s="18">
        <f>IF(D399="","",IF(C399="每日",D399+1,IF(C399="每週",D399+7,IF(C399="每月",EDATE(D399,1),IF(C399="每季",EDATE(D399,3),IF(C399="每年",EDATE(D399,12),""))))))</f>
        <v/>
      </c>
      <c r="F399" s="21">
        <f>IF(E399="","",IF(E399&lt;TODAY(),"逾期","正常"))</f>
        <v/>
      </c>
      <c r="G399" s="21" t="n"/>
      <c r="H399" s="21" t="n"/>
    </row>
    <row r="400">
      <c r="A400" s="21" t="n"/>
      <c r="B400" s="21" t="n"/>
      <c r="C400" s="21" t="n"/>
      <c r="D400" s="18" t="n"/>
      <c r="E400" s="18">
        <f>IF(D400="","",IF(C400="每日",D400+1,IF(C400="每週",D400+7,IF(C400="每月",EDATE(D400,1),IF(C400="每季",EDATE(D400,3),IF(C400="每年",EDATE(D400,12),""))))))</f>
        <v/>
      </c>
      <c r="F400" s="21">
        <f>IF(E400="","",IF(E400&lt;TODAY(),"逾期","正常"))</f>
        <v/>
      </c>
      <c r="G400" s="21" t="n"/>
      <c r="H400" s="21" t="n"/>
    </row>
    <row r="401">
      <c r="A401" s="21" t="n"/>
      <c r="B401" s="21" t="n"/>
      <c r="C401" s="21" t="n"/>
      <c r="D401" s="18" t="n"/>
      <c r="E401" s="18">
        <f>IF(D401="","",IF(C401="每日",D401+1,IF(C401="每週",D401+7,IF(C401="每月",EDATE(D401,1),IF(C401="每季",EDATE(D401,3),IF(C401="每年",EDATE(D401,12),""))))))</f>
        <v/>
      </c>
      <c r="F401" s="21">
        <f>IF(E401="","",IF(E401&lt;TODAY(),"逾期","正常"))</f>
        <v/>
      </c>
      <c r="G401" s="21" t="n"/>
      <c r="H401" s="21" t="n"/>
    </row>
    <row r="402">
      <c r="A402" s="21" t="n"/>
      <c r="B402" s="21" t="n"/>
      <c r="C402" s="21" t="n"/>
      <c r="D402" s="18" t="n"/>
      <c r="E402" s="18">
        <f>IF(D402="","",IF(C402="每日",D402+1,IF(C402="每週",D402+7,IF(C402="每月",EDATE(D402,1),IF(C402="每季",EDATE(D402,3),IF(C402="每年",EDATE(D402,12),""))))))</f>
        <v/>
      </c>
      <c r="F402" s="21">
        <f>IF(E402="","",IF(E402&lt;TODAY(),"逾期","正常"))</f>
        <v/>
      </c>
      <c r="G402" s="21" t="n"/>
      <c r="H402" s="21" t="n"/>
    </row>
    <row r="403">
      <c r="A403" s="21" t="n"/>
      <c r="B403" s="21" t="n"/>
      <c r="C403" s="21" t="n"/>
      <c r="D403" s="18" t="n"/>
      <c r="E403" s="18">
        <f>IF(D403="","",IF(C403="每日",D403+1,IF(C403="每週",D403+7,IF(C403="每月",EDATE(D403,1),IF(C403="每季",EDATE(D403,3),IF(C403="每年",EDATE(D403,12),""))))))</f>
        <v/>
      </c>
      <c r="F403" s="21">
        <f>IF(E403="","",IF(E403&lt;TODAY(),"逾期","正常"))</f>
        <v/>
      </c>
      <c r="G403" s="21" t="n"/>
      <c r="H403" s="21" t="n"/>
    </row>
    <row r="404">
      <c r="A404" s="21" t="n"/>
      <c r="B404" s="21" t="n"/>
      <c r="C404" s="21" t="n"/>
      <c r="D404" s="18" t="n"/>
      <c r="E404" s="18">
        <f>IF(D404="","",IF(C404="每日",D404+1,IF(C404="每週",D404+7,IF(C404="每月",EDATE(D404,1),IF(C404="每季",EDATE(D404,3),IF(C404="每年",EDATE(D404,12),""))))))</f>
        <v/>
      </c>
      <c r="F404" s="21">
        <f>IF(E404="","",IF(E404&lt;TODAY(),"逾期","正常"))</f>
        <v/>
      </c>
      <c r="G404" s="21" t="n"/>
      <c r="H404" s="21" t="n"/>
    </row>
    <row r="405">
      <c r="A405" s="21" t="n"/>
      <c r="B405" s="21" t="n"/>
      <c r="C405" s="21" t="n"/>
      <c r="D405" s="18" t="n"/>
      <c r="E405" s="18">
        <f>IF(D405="","",IF(C405="每日",D405+1,IF(C405="每週",D405+7,IF(C405="每月",EDATE(D405,1),IF(C405="每季",EDATE(D405,3),IF(C405="每年",EDATE(D405,12),""))))))</f>
        <v/>
      </c>
      <c r="F405" s="21">
        <f>IF(E405="","",IF(E405&lt;TODAY(),"逾期","正常"))</f>
        <v/>
      </c>
      <c r="G405" s="21" t="n"/>
      <c r="H405" s="21" t="n"/>
    </row>
    <row r="406">
      <c r="A406" s="21" t="n"/>
      <c r="B406" s="21" t="n"/>
      <c r="C406" s="21" t="n"/>
      <c r="D406" s="18" t="n"/>
      <c r="E406" s="18">
        <f>IF(D406="","",IF(C406="每日",D406+1,IF(C406="每週",D406+7,IF(C406="每月",EDATE(D406,1),IF(C406="每季",EDATE(D406,3),IF(C406="每年",EDATE(D406,12),""))))))</f>
        <v/>
      </c>
      <c r="F406" s="21">
        <f>IF(E406="","",IF(E406&lt;TODAY(),"逾期","正常"))</f>
        <v/>
      </c>
      <c r="G406" s="21" t="n"/>
      <c r="H406" s="21" t="n"/>
    </row>
    <row r="407">
      <c r="A407" s="21" t="n"/>
      <c r="B407" s="21" t="n"/>
      <c r="C407" s="21" t="n"/>
      <c r="D407" s="18" t="n"/>
      <c r="E407" s="18">
        <f>IF(D407="","",IF(C407="每日",D407+1,IF(C407="每週",D407+7,IF(C407="每月",EDATE(D407,1),IF(C407="每季",EDATE(D407,3),IF(C407="每年",EDATE(D407,12),""))))))</f>
        <v/>
      </c>
      <c r="F407" s="21">
        <f>IF(E407="","",IF(E407&lt;TODAY(),"逾期","正常"))</f>
        <v/>
      </c>
      <c r="G407" s="21" t="n"/>
      <c r="H407" s="21" t="n"/>
    </row>
    <row r="408">
      <c r="A408" s="21" t="n"/>
      <c r="B408" s="21" t="n"/>
      <c r="C408" s="21" t="n"/>
      <c r="D408" s="18" t="n"/>
      <c r="E408" s="18">
        <f>IF(D408="","",IF(C408="每日",D408+1,IF(C408="每週",D408+7,IF(C408="每月",EDATE(D408,1),IF(C408="每季",EDATE(D408,3),IF(C408="每年",EDATE(D408,12),""))))))</f>
        <v/>
      </c>
      <c r="F408" s="21">
        <f>IF(E408="","",IF(E408&lt;TODAY(),"逾期","正常"))</f>
        <v/>
      </c>
      <c r="G408" s="21" t="n"/>
      <c r="H408" s="21" t="n"/>
    </row>
    <row r="409">
      <c r="A409" s="21" t="n"/>
      <c r="B409" s="21" t="n"/>
      <c r="C409" s="21" t="n"/>
      <c r="D409" s="18" t="n"/>
      <c r="E409" s="18">
        <f>IF(D409="","",IF(C409="每日",D409+1,IF(C409="每週",D409+7,IF(C409="每月",EDATE(D409,1),IF(C409="每季",EDATE(D409,3),IF(C409="每年",EDATE(D409,12),""))))))</f>
        <v/>
      </c>
      <c r="F409" s="21">
        <f>IF(E409="","",IF(E409&lt;TODAY(),"逾期","正常"))</f>
        <v/>
      </c>
      <c r="G409" s="21" t="n"/>
      <c r="H409" s="21" t="n"/>
    </row>
    <row r="410">
      <c r="A410" s="21" t="n"/>
      <c r="B410" s="21" t="n"/>
      <c r="C410" s="21" t="n"/>
      <c r="D410" s="18" t="n"/>
      <c r="E410" s="18">
        <f>IF(D410="","",IF(C410="每日",D410+1,IF(C410="每週",D410+7,IF(C410="每月",EDATE(D410,1),IF(C410="每季",EDATE(D410,3),IF(C410="每年",EDATE(D410,12),""))))))</f>
        <v/>
      </c>
      <c r="F410" s="21">
        <f>IF(E410="","",IF(E410&lt;TODAY(),"逾期","正常"))</f>
        <v/>
      </c>
      <c r="G410" s="21" t="n"/>
      <c r="H410" s="21" t="n"/>
    </row>
    <row r="411">
      <c r="A411" s="21" t="n"/>
      <c r="B411" s="21" t="n"/>
      <c r="C411" s="21" t="n"/>
      <c r="D411" s="18" t="n"/>
      <c r="E411" s="18">
        <f>IF(D411="","",IF(C411="每日",D411+1,IF(C411="每週",D411+7,IF(C411="每月",EDATE(D411,1),IF(C411="每季",EDATE(D411,3),IF(C411="每年",EDATE(D411,12),""))))))</f>
        <v/>
      </c>
      <c r="F411" s="21">
        <f>IF(E411="","",IF(E411&lt;TODAY(),"逾期","正常"))</f>
        <v/>
      </c>
      <c r="G411" s="21" t="n"/>
      <c r="H411" s="21" t="n"/>
    </row>
    <row r="412">
      <c r="A412" s="21" t="n"/>
      <c r="B412" s="21" t="n"/>
      <c r="C412" s="21" t="n"/>
      <c r="D412" s="18" t="n"/>
      <c r="E412" s="18">
        <f>IF(D412="","",IF(C412="每日",D412+1,IF(C412="每週",D412+7,IF(C412="每月",EDATE(D412,1),IF(C412="每季",EDATE(D412,3),IF(C412="每年",EDATE(D412,12),""))))))</f>
        <v/>
      </c>
      <c r="F412" s="21">
        <f>IF(E412="","",IF(E412&lt;TODAY(),"逾期","正常"))</f>
        <v/>
      </c>
      <c r="G412" s="21" t="n"/>
      <c r="H412" s="21" t="n"/>
    </row>
    <row r="413">
      <c r="A413" s="21" t="n"/>
      <c r="B413" s="21" t="n"/>
      <c r="C413" s="21" t="n"/>
      <c r="D413" s="18" t="n"/>
      <c r="E413" s="18">
        <f>IF(D413="","",IF(C413="每日",D413+1,IF(C413="每週",D413+7,IF(C413="每月",EDATE(D413,1),IF(C413="每季",EDATE(D413,3),IF(C413="每年",EDATE(D413,12),""))))))</f>
        <v/>
      </c>
      <c r="F413" s="21">
        <f>IF(E413="","",IF(E413&lt;TODAY(),"逾期","正常"))</f>
        <v/>
      </c>
      <c r="G413" s="21" t="n"/>
      <c r="H413" s="21" t="n"/>
    </row>
    <row r="414">
      <c r="A414" s="21" t="n"/>
      <c r="B414" s="21" t="n"/>
      <c r="C414" s="21" t="n"/>
      <c r="D414" s="18" t="n"/>
      <c r="E414" s="18">
        <f>IF(D414="","",IF(C414="每日",D414+1,IF(C414="每週",D414+7,IF(C414="每月",EDATE(D414,1),IF(C414="每季",EDATE(D414,3),IF(C414="每年",EDATE(D414,12),""))))))</f>
        <v/>
      </c>
      <c r="F414" s="21">
        <f>IF(E414="","",IF(E414&lt;TODAY(),"逾期","正常"))</f>
        <v/>
      </c>
      <c r="G414" s="21" t="n"/>
      <c r="H414" s="21" t="n"/>
    </row>
    <row r="415">
      <c r="A415" s="21" t="n"/>
      <c r="B415" s="21" t="n"/>
      <c r="C415" s="21" t="n"/>
      <c r="D415" s="18" t="n"/>
      <c r="E415" s="18">
        <f>IF(D415="","",IF(C415="每日",D415+1,IF(C415="每週",D415+7,IF(C415="每月",EDATE(D415,1),IF(C415="每季",EDATE(D415,3),IF(C415="每年",EDATE(D415,12),""))))))</f>
        <v/>
      </c>
      <c r="F415" s="21">
        <f>IF(E415="","",IF(E415&lt;TODAY(),"逾期","正常"))</f>
        <v/>
      </c>
      <c r="G415" s="21" t="n"/>
      <c r="H415" s="21" t="n"/>
    </row>
    <row r="416">
      <c r="A416" s="21" t="n"/>
      <c r="B416" s="21" t="n"/>
      <c r="C416" s="21" t="n"/>
      <c r="D416" s="18" t="n"/>
      <c r="E416" s="18">
        <f>IF(D416="","",IF(C416="每日",D416+1,IF(C416="每週",D416+7,IF(C416="每月",EDATE(D416,1),IF(C416="每季",EDATE(D416,3),IF(C416="每年",EDATE(D416,12),""))))))</f>
        <v/>
      </c>
      <c r="F416" s="21">
        <f>IF(E416="","",IF(E416&lt;TODAY(),"逾期","正常"))</f>
        <v/>
      </c>
      <c r="G416" s="21" t="n"/>
      <c r="H416" s="21" t="n"/>
    </row>
    <row r="417">
      <c r="A417" s="21" t="n"/>
      <c r="B417" s="21" t="n"/>
      <c r="C417" s="21" t="n"/>
      <c r="D417" s="18" t="n"/>
      <c r="E417" s="18">
        <f>IF(D417="","",IF(C417="每日",D417+1,IF(C417="每週",D417+7,IF(C417="每月",EDATE(D417,1),IF(C417="每季",EDATE(D417,3),IF(C417="每年",EDATE(D417,12),""))))))</f>
        <v/>
      </c>
      <c r="F417" s="21">
        <f>IF(E417="","",IF(E417&lt;TODAY(),"逾期","正常"))</f>
        <v/>
      </c>
      <c r="G417" s="21" t="n"/>
      <c r="H417" s="21" t="n"/>
    </row>
    <row r="418">
      <c r="A418" s="21" t="n"/>
      <c r="B418" s="21" t="n"/>
      <c r="C418" s="21" t="n"/>
      <c r="D418" s="18" t="n"/>
      <c r="E418" s="18">
        <f>IF(D418="","",IF(C418="每日",D418+1,IF(C418="每週",D418+7,IF(C418="每月",EDATE(D418,1),IF(C418="每季",EDATE(D418,3),IF(C418="每年",EDATE(D418,12),""))))))</f>
        <v/>
      </c>
      <c r="F418" s="21">
        <f>IF(E418="","",IF(E418&lt;TODAY(),"逾期","正常"))</f>
        <v/>
      </c>
      <c r="G418" s="21" t="n"/>
      <c r="H418" s="21" t="n"/>
    </row>
    <row r="419">
      <c r="A419" s="21" t="n"/>
      <c r="B419" s="21" t="n"/>
      <c r="C419" s="21" t="n"/>
      <c r="D419" s="18" t="n"/>
      <c r="E419" s="18">
        <f>IF(D419="","",IF(C419="每日",D419+1,IF(C419="每週",D419+7,IF(C419="每月",EDATE(D419,1),IF(C419="每季",EDATE(D419,3),IF(C419="每年",EDATE(D419,12),""))))))</f>
        <v/>
      </c>
      <c r="F419" s="21">
        <f>IF(E419="","",IF(E419&lt;TODAY(),"逾期","正常"))</f>
        <v/>
      </c>
      <c r="G419" s="21" t="n"/>
      <c r="H419" s="21" t="n"/>
    </row>
    <row r="420">
      <c r="A420" s="21" t="n"/>
      <c r="B420" s="21" t="n"/>
      <c r="C420" s="21" t="n"/>
      <c r="D420" s="18" t="n"/>
      <c r="E420" s="18">
        <f>IF(D420="","",IF(C420="每日",D420+1,IF(C420="每週",D420+7,IF(C420="每月",EDATE(D420,1),IF(C420="每季",EDATE(D420,3),IF(C420="每年",EDATE(D420,12),""))))))</f>
        <v/>
      </c>
      <c r="F420" s="21">
        <f>IF(E420="","",IF(E420&lt;TODAY(),"逾期","正常"))</f>
        <v/>
      </c>
      <c r="G420" s="21" t="n"/>
      <c r="H420" s="21" t="n"/>
    </row>
    <row r="421">
      <c r="A421" s="21" t="n"/>
      <c r="B421" s="21" t="n"/>
      <c r="C421" s="21" t="n"/>
      <c r="D421" s="18" t="n"/>
      <c r="E421" s="18">
        <f>IF(D421="","",IF(C421="每日",D421+1,IF(C421="每週",D421+7,IF(C421="每月",EDATE(D421,1),IF(C421="每季",EDATE(D421,3),IF(C421="每年",EDATE(D421,12),""))))))</f>
        <v/>
      </c>
      <c r="F421" s="21">
        <f>IF(E421="","",IF(E421&lt;TODAY(),"逾期","正常"))</f>
        <v/>
      </c>
      <c r="G421" s="21" t="n"/>
      <c r="H421" s="21" t="n"/>
    </row>
    <row r="422">
      <c r="A422" s="21" t="n"/>
      <c r="B422" s="21" t="n"/>
      <c r="C422" s="21" t="n"/>
      <c r="D422" s="18" t="n"/>
      <c r="E422" s="18">
        <f>IF(D422="","",IF(C422="每日",D422+1,IF(C422="每週",D422+7,IF(C422="每月",EDATE(D422,1),IF(C422="每季",EDATE(D422,3),IF(C422="每年",EDATE(D422,12),""))))))</f>
        <v/>
      </c>
      <c r="F422" s="21">
        <f>IF(E422="","",IF(E422&lt;TODAY(),"逾期","正常"))</f>
        <v/>
      </c>
      <c r="G422" s="21" t="n"/>
      <c r="H422" s="21" t="n"/>
    </row>
    <row r="423">
      <c r="A423" s="21" t="n"/>
      <c r="B423" s="21" t="n"/>
      <c r="C423" s="21" t="n"/>
      <c r="D423" s="18" t="n"/>
      <c r="E423" s="18">
        <f>IF(D423="","",IF(C423="每日",D423+1,IF(C423="每週",D423+7,IF(C423="每月",EDATE(D423,1),IF(C423="每季",EDATE(D423,3),IF(C423="每年",EDATE(D423,12),""))))))</f>
        <v/>
      </c>
      <c r="F423" s="21">
        <f>IF(E423="","",IF(E423&lt;TODAY(),"逾期","正常"))</f>
        <v/>
      </c>
      <c r="G423" s="21" t="n"/>
      <c r="H423" s="21" t="n"/>
    </row>
    <row r="424">
      <c r="A424" s="21" t="n"/>
      <c r="B424" s="21" t="n"/>
      <c r="C424" s="21" t="n"/>
      <c r="D424" s="18" t="n"/>
      <c r="E424" s="18">
        <f>IF(D424="","",IF(C424="每日",D424+1,IF(C424="每週",D424+7,IF(C424="每月",EDATE(D424,1),IF(C424="每季",EDATE(D424,3),IF(C424="每年",EDATE(D424,12),""))))))</f>
        <v/>
      </c>
      <c r="F424" s="21">
        <f>IF(E424="","",IF(E424&lt;TODAY(),"逾期","正常"))</f>
        <v/>
      </c>
      <c r="G424" s="21" t="n"/>
      <c r="H424" s="21" t="n"/>
    </row>
    <row r="425">
      <c r="A425" s="21" t="n"/>
      <c r="B425" s="21" t="n"/>
      <c r="C425" s="21" t="n"/>
      <c r="D425" s="18" t="n"/>
      <c r="E425" s="18">
        <f>IF(D425="","",IF(C425="每日",D425+1,IF(C425="每週",D425+7,IF(C425="每月",EDATE(D425,1),IF(C425="每季",EDATE(D425,3),IF(C425="每年",EDATE(D425,12),""))))))</f>
        <v/>
      </c>
      <c r="F425" s="21">
        <f>IF(E425="","",IF(E425&lt;TODAY(),"逾期","正常"))</f>
        <v/>
      </c>
      <c r="G425" s="21" t="n"/>
      <c r="H425" s="21" t="n"/>
    </row>
    <row r="426">
      <c r="A426" s="21" t="n"/>
      <c r="B426" s="21" t="n"/>
      <c r="C426" s="21" t="n"/>
      <c r="D426" s="18" t="n"/>
      <c r="E426" s="18">
        <f>IF(D426="","",IF(C426="每日",D426+1,IF(C426="每週",D426+7,IF(C426="每月",EDATE(D426,1),IF(C426="每季",EDATE(D426,3),IF(C426="每年",EDATE(D426,12),""))))))</f>
        <v/>
      </c>
      <c r="F426" s="21">
        <f>IF(E426="","",IF(E426&lt;TODAY(),"逾期","正常"))</f>
        <v/>
      </c>
      <c r="G426" s="21" t="n"/>
      <c r="H426" s="21" t="n"/>
    </row>
    <row r="427">
      <c r="A427" s="21" t="n"/>
      <c r="B427" s="21" t="n"/>
      <c r="C427" s="21" t="n"/>
      <c r="D427" s="18" t="n"/>
      <c r="E427" s="18">
        <f>IF(D427="","",IF(C427="每日",D427+1,IF(C427="每週",D427+7,IF(C427="每月",EDATE(D427,1),IF(C427="每季",EDATE(D427,3),IF(C427="每年",EDATE(D427,12),""))))))</f>
        <v/>
      </c>
      <c r="F427" s="21">
        <f>IF(E427="","",IF(E427&lt;TODAY(),"逾期","正常"))</f>
        <v/>
      </c>
      <c r="G427" s="21" t="n"/>
      <c r="H427" s="21" t="n"/>
    </row>
    <row r="428">
      <c r="A428" s="21" t="n"/>
      <c r="B428" s="21" t="n"/>
      <c r="C428" s="21" t="n"/>
      <c r="D428" s="18" t="n"/>
      <c r="E428" s="18">
        <f>IF(D428="","",IF(C428="每日",D428+1,IF(C428="每週",D428+7,IF(C428="每月",EDATE(D428,1),IF(C428="每季",EDATE(D428,3),IF(C428="每年",EDATE(D428,12),""))))))</f>
        <v/>
      </c>
      <c r="F428" s="21">
        <f>IF(E428="","",IF(E428&lt;TODAY(),"逾期","正常"))</f>
        <v/>
      </c>
      <c r="G428" s="21" t="n"/>
      <c r="H428" s="21" t="n"/>
    </row>
    <row r="429">
      <c r="A429" s="21" t="n"/>
      <c r="B429" s="21" t="n"/>
      <c r="C429" s="21" t="n"/>
      <c r="D429" s="18" t="n"/>
      <c r="E429" s="18">
        <f>IF(D429="","",IF(C429="每日",D429+1,IF(C429="每週",D429+7,IF(C429="每月",EDATE(D429,1),IF(C429="每季",EDATE(D429,3),IF(C429="每年",EDATE(D429,12),""))))))</f>
        <v/>
      </c>
      <c r="F429" s="21">
        <f>IF(E429="","",IF(E429&lt;TODAY(),"逾期","正常"))</f>
        <v/>
      </c>
      <c r="G429" s="21" t="n"/>
      <c r="H429" s="21" t="n"/>
    </row>
    <row r="430">
      <c r="A430" s="21" t="n"/>
      <c r="B430" s="21" t="n"/>
      <c r="C430" s="21" t="n"/>
      <c r="D430" s="18" t="n"/>
      <c r="E430" s="18">
        <f>IF(D430="","",IF(C430="每日",D430+1,IF(C430="每週",D430+7,IF(C430="每月",EDATE(D430,1),IF(C430="每季",EDATE(D430,3),IF(C430="每年",EDATE(D430,12),""))))))</f>
        <v/>
      </c>
      <c r="F430" s="21">
        <f>IF(E430="","",IF(E430&lt;TODAY(),"逾期","正常"))</f>
        <v/>
      </c>
      <c r="G430" s="21" t="n"/>
      <c r="H430" s="21" t="n"/>
    </row>
    <row r="431">
      <c r="A431" s="21" t="n"/>
      <c r="B431" s="21" t="n"/>
      <c r="C431" s="21" t="n"/>
      <c r="D431" s="18" t="n"/>
      <c r="E431" s="18">
        <f>IF(D431="","",IF(C431="每日",D431+1,IF(C431="每週",D431+7,IF(C431="每月",EDATE(D431,1),IF(C431="每季",EDATE(D431,3),IF(C431="每年",EDATE(D431,12),""))))))</f>
        <v/>
      </c>
      <c r="F431" s="21">
        <f>IF(E431="","",IF(E431&lt;TODAY(),"逾期","正常"))</f>
        <v/>
      </c>
      <c r="G431" s="21" t="n"/>
      <c r="H431" s="21" t="n"/>
    </row>
    <row r="432">
      <c r="A432" s="21" t="n"/>
      <c r="B432" s="21" t="n"/>
      <c r="C432" s="21" t="n"/>
      <c r="D432" s="18" t="n"/>
      <c r="E432" s="18">
        <f>IF(D432="","",IF(C432="每日",D432+1,IF(C432="每週",D432+7,IF(C432="每月",EDATE(D432,1),IF(C432="每季",EDATE(D432,3),IF(C432="每年",EDATE(D432,12),""))))))</f>
        <v/>
      </c>
      <c r="F432" s="21">
        <f>IF(E432="","",IF(E432&lt;TODAY(),"逾期","正常"))</f>
        <v/>
      </c>
      <c r="G432" s="21" t="n"/>
      <c r="H432" s="21" t="n"/>
    </row>
    <row r="433">
      <c r="A433" s="21" t="n"/>
      <c r="B433" s="21" t="n"/>
      <c r="C433" s="21" t="n"/>
      <c r="D433" s="18" t="n"/>
      <c r="E433" s="18">
        <f>IF(D433="","",IF(C433="每日",D433+1,IF(C433="每週",D433+7,IF(C433="每月",EDATE(D433,1),IF(C433="每季",EDATE(D433,3),IF(C433="每年",EDATE(D433,12),""))))))</f>
        <v/>
      </c>
      <c r="F433" s="21">
        <f>IF(E433="","",IF(E433&lt;TODAY(),"逾期","正常"))</f>
        <v/>
      </c>
      <c r="G433" s="21" t="n"/>
      <c r="H433" s="21" t="n"/>
    </row>
    <row r="434">
      <c r="A434" s="21" t="n"/>
      <c r="B434" s="21" t="n"/>
      <c r="C434" s="21" t="n"/>
      <c r="D434" s="18" t="n"/>
      <c r="E434" s="18">
        <f>IF(D434="","",IF(C434="每日",D434+1,IF(C434="每週",D434+7,IF(C434="每月",EDATE(D434,1),IF(C434="每季",EDATE(D434,3),IF(C434="每年",EDATE(D434,12),""))))))</f>
        <v/>
      </c>
      <c r="F434" s="21">
        <f>IF(E434="","",IF(E434&lt;TODAY(),"逾期","正常"))</f>
        <v/>
      </c>
      <c r="G434" s="21" t="n"/>
      <c r="H434" s="21" t="n"/>
    </row>
    <row r="435">
      <c r="A435" s="21" t="n"/>
      <c r="B435" s="21" t="n"/>
      <c r="C435" s="21" t="n"/>
      <c r="D435" s="18" t="n"/>
      <c r="E435" s="18">
        <f>IF(D435="","",IF(C435="每日",D435+1,IF(C435="每週",D435+7,IF(C435="每月",EDATE(D435,1),IF(C435="每季",EDATE(D435,3),IF(C435="每年",EDATE(D435,12),""))))))</f>
        <v/>
      </c>
      <c r="F435" s="21">
        <f>IF(E435="","",IF(E435&lt;TODAY(),"逾期","正常"))</f>
        <v/>
      </c>
      <c r="G435" s="21" t="n"/>
      <c r="H435" s="21" t="n"/>
    </row>
    <row r="436">
      <c r="A436" s="21" t="n"/>
      <c r="B436" s="21" t="n"/>
      <c r="C436" s="21" t="n"/>
      <c r="D436" s="18" t="n"/>
      <c r="E436" s="18">
        <f>IF(D436="","",IF(C436="每日",D436+1,IF(C436="每週",D436+7,IF(C436="每月",EDATE(D436,1),IF(C436="每季",EDATE(D436,3),IF(C436="每年",EDATE(D436,12),""))))))</f>
        <v/>
      </c>
      <c r="F436" s="21">
        <f>IF(E436="","",IF(E436&lt;TODAY(),"逾期","正常"))</f>
        <v/>
      </c>
      <c r="G436" s="21" t="n"/>
      <c r="H436" s="21" t="n"/>
    </row>
    <row r="437">
      <c r="A437" s="21" t="n"/>
      <c r="B437" s="21" t="n"/>
      <c r="C437" s="21" t="n"/>
      <c r="D437" s="18" t="n"/>
      <c r="E437" s="18">
        <f>IF(D437="","",IF(C437="每日",D437+1,IF(C437="每週",D437+7,IF(C437="每月",EDATE(D437,1),IF(C437="每季",EDATE(D437,3),IF(C437="每年",EDATE(D437,12),""))))))</f>
        <v/>
      </c>
      <c r="F437" s="21">
        <f>IF(E437="","",IF(E437&lt;TODAY(),"逾期","正常"))</f>
        <v/>
      </c>
      <c r="G437" s="21" t="n"/>
      <c r="H437" s="21" t="n"/>
    </row>
    <row r="438">
      <c r="A438" s="21" t="n"/>
      <c r="B438" s="21" t="n"/>
      <c r="C438" s="21" t="n"/>
      <c r="D438" s="18" t="n"/>
      <c r="E438" s="18">
        <f>IF(D438="","",IF(C438="每日",D438+1,IF(C438="每週",D438+7,IF(C438="每月",EDATE(D438,1),IF(C438="每季",EDATE(D438,3),IF(C438="每年",EDATE(D438,12),""))))))</f>
        <v/>
      </c>
      <c r="F438" s="21">
        <f>IF(E438="","",IF(E438&lt;TODAY(),"逾期","正常"))</f>
        <v/>
      </c>
      <c r="G438" s="21" t="n"/>
      <c r="H438" s="21" t="n"/>
    </row>
    <row r="439">
      <c r="A439" s="21" t="n"/>
      <c r="B439" s="21" t="n"/>
      <c r="C439" s="21" t="n"/>
      <c r="D439" s="18" t="n"/>
      <c r="E439" s="18">
        <f>IF(D439="","",IF(C439="每日",D439+1,IF(C439="每週",D439+7,IF(C439="每月",EDATE(D439,1),IF(C439="每季",EDATE(D439,3),IF(C439="每年",EDATE(D439,12),""))))))</f>
        <v/>
      </c>
      <c r="F439" s="21">
        <f>IF(E439="","",IF(E439&lt;TODAY(),"逾期","正常"))</f>
        <v/>
      </c>
      <c r="G439" s="21" t="n"/>
      <c r="H439" s="21" t="n"/>
    </row>
    <row r="440">
      <c r="A440" s="21" t="n"/>
      <c r="B440" s="21" t="n"/>
      <c r="C440" s="21" t="n"/>
      <c r="D440" s="18" t="n"/>
      <c r="E440" s="18">
        <f>IF(D440="","",IF(C440="每日",D440+1,IF(C440="每週",D440+7,IF(C440="每月",EDATE(D440,1),IF(C440="每季",EDATE(D440,3),IF(C440="每年",EDATE(D440,12),""))))))</f>
        <v/>
      </c>
      <c r="F440" s="21">
        <f>IF(E440="","",IF(E440&lt;TODAY(),"逾期","正常"))</f>
        <v/>
      </c>
      <c r="G440" s="21" t="n"/>
      <c r="H440" s="21" t="n"/>
    </row>
    <row r="441">
      <c r="A441" s="21" t="n"/>
      <c r="B441" s="21" t="n"/>
      <c r="C441" s="21" t="n"/>
      <c r="D441" s="18" t="n"/>
      <c r="E441" s="18">
        <f>IF(D441="","",IF(C441="每日",D441+1,IF(C441="每週",D441+7,IF(C441="每月",EDATE(D441,1),IF(C441="每季",EDATE(D441,3),IF(C441="每年",EDATE(D441,12),""))))))</f>
        <v/>
      </c>
      <c r="F441" s="21">
        <f>IF(E441="","",IF(E441&lt;TODAY(),"逾期","正常"))</f>
        <v/>
      </c>
      <c r="G441" s="21" t="n"/>
      <c r="H441" s="21" t="n"/>
    </row>
    <row r="442">
      <c r="A442" s="21" t="n"/>
      <c r="B442" s="21" t="n"/>
      <c r="C442" s="21" t="n"/>
      <c r="D442" s="18" t="n"/>
      <c r="E442" s="18">
        <f>IF(D442="","",IF(C442="每日",D442+1,IF(C442="每週",D442+7,IF(C442="每月",EDATE(D442,1),IF(C442="每季",EDATE(D442,3),IF(C442="每年",EDATE(D442,12),""))))))</f>
        <v/>
      </c>
      <c r="F442" s="21">
        <f>IF(E442="","",IF(E442&lt;TODAY(),"逾期","正常"))</f>
        <v/>
      </c>
      <c r="G442" s="21" t="n"/>
      <c r="H442" s="21" t="n"/>
    </row>
    <row r="443">
      <c r="A443" s="21" t="n"/>
      <c r="B443" s="21" t="n"/>
      <c r="C443" s="21" t="n"/>
      <c r="D443" s="18" t="n"/>
      <c r="E443" s="18">
        <f>IF(D443="","",IF(C443="每日",D443+1,IF(C443="每週",D443+7,IF(C443="每月",EDATE(D443,1),IF(C443="每季",EDATE(D443,3),IF(C443="每年",EDATE(D443,12),""))))))</f>
        <v/>
      </c>
      <c r="F443" s="21">
        <f>IF(E443="","",IF(E443&lt;TODAY(),"逾期","正常"))</f>
        <v/>
      </c>
      <c r="G443" s="21" t="n"/>
      <c r="H443" s="21" t="n"/>
    </row>
    <row r="444">
      <c r="A444" s="21" t="n"/>
      <c r="B444" s="21" t="n"/>
      <c r="C444" s="21" t="n"/>
      <c r="D444" s="18" t="n"/>
      <c r="E444" s="18">
        <f>IF(D444="","",IF(C444="每日",D444+1,IF(C444="每週",D444+7,IF(C444="每月",EDATE(D444,1),IF(C444="每季",EDATE(D444,3),IF(C444="每年",EDATE(D444,12),""))))))</f>
        <v/>
      </c>
      <c r="F444" s="21">
        <f>IF(E444="","",IF(E444&lt;TODAY(),"逾期","正常"))</f>
        <v/>
      </c>
      <c r="G444" s="21" t="n"/>
      <c r="H444" s="21" t="n"/>
    </row>
    <row r="445">
      <c r="A445" s="21" t="n"/>
      <c r="B445" s="21" t="n"/>
      <c r="C445" s="21" t="n"/>
      <c r="D445" s="18" t="n"/>
      <c r="E445" s="18">
        <f>IF(D445="","",IF(C445="每日",D445+1,IF(C445="每週",D445+7,IF(C445="每月",EDATE(D445,1),IF(C445="每季",EDATE(D445,3),IF(C445="每年",EDATE(D445,12),""))))))</f>
        <v/>
      </c>
      <c r="F445" s="21">
        <f>IF(E445="","",IF(E445&lt;TODAY(),"逾期","正常"))</f>
        <v/>
      </c>
      <c r="G445" s="21" t="n"/>
      <c r="H445" s="21" t="n"/>
    </row>
    <row r="446">
      <c r="A446" s="21" t="n"/>
      <c r="B446" s="21" t="n"/>
      <c r="C446" s="21" t="n"/>
      <c r="D446" s="18" t="n"/>
      <c r="E446" s="18">
        <f>IF(D446="","",IF(C446="每日",D446+1,IF(C446="每週",D446+7,IF(C446="每月",EDATE(D446,1),IF(C446="每季",EDATE(D446,3),IF(C446="每年",EDATE(D446,12),""))))))</f>
        <v/>
      </c>
      <c r="F446" s="21">
        <f>IF(E446="","",IF(E446&lt;TODAY(),"逾期","正常"))</f>
        <v/>
      </c>
      <c r="G446" s="21" t="n"/>
      <c r="H446" s="21" t="n"/>
    </row>
    <row r="447">
      <c r="A447" s="21" t="n"/>
      <c r="B447" s="21" t="n"/>
      <c r="C447" s="21" t="n"/>
      <c r="D447" s="18" t="n"/>
      <c r="E447" s="18">
        <f>IF(D447="","",IF(C447="每日",D447+1,IF(C447="每週",D447+7,IF(C447="每月",EDATE(D447,1),IF(C447="每季",EDATE(D447,3),IF(C447="每年",EDATE(D447,12),""))))))</f>
        <v/>
      </c>
      <c r="F447" s="21">
        <f>IF(E447="","",IF(E447&lt;TODAY(),"逾期","正常"))</f>
        <v/>
      </c>
      <c r="G447" s="21" t="n"/>
      <c r="H447" s="21" t="n"/>
    </row>
    <row r="448">
      <c r="A448" s="21" t="n"/>
      <c r="B448" s="21" t="n"/>
      <c r="C448" s="21" t="n"/>
      <c r="D448" s="18" t="n"/>
      <c r="E448" s="18">
        <f>IF(D448="","",IF(C448="每日",D448+1,IF(C448="每週",D448+7,IF(C448="每月",EDATE(D448,1),IF(C448="每季",EDATE(D448,3),IF(C448="每年",EDATE(D448,12),""))))))</f>
        <v/>
      </c>
      <c r="F448" s="21">
        <f>IF(E448="","",IF(E448&lt;TODAY(),"逾期","正常"))</f>
        <v/>
      </c>
      <c r="G448" s="21" t="n"/>
      <c r="H448" s="21" t="n"/>
    </row>
    <row r="449">
      <c r="A449" s="21" t="n"/>
      <c r="B449" s="21" t="n"/>
      <c r="C449" s="21" t="n"/>
      <c r="D449" s="18" t="n"/>
      <c r="E449" s="18">
        <f>IF(D449="","",IF(C449="每日",D449+1,IF(C449="每週",D449+7,IF(C449="每月",EDATE(D449,1),IF(C449="每季",EDATE(D449,3),IF(C449="每年",EDATE(D449,12),""))))))</f>
        <v/>
      </c>
      <c r="F449" s="21">
        <f>IF(E449="","",IF(E449&lt;TODAY(),"逾期","正常"))</f>
        <v/>
      </c>
      <c r="G449" s="21" t="n"/>
      <c r="H449" s="21" t="n"/>
    </row>
    <row r="450">
      <c r="A450" s="21" t="n"/>
      <c r="B450" s="21" t="n"/>
      <c r="C450" s="21" t="n"/>
      <c r="D450" s="18" t="n"/>
      <c r="E450" s="18">
        <f>IF(D450="","",IF(C450="每日",D450+1,IF(C450="每週",D450+7,IF(C450="每月",EDATE(D450,1),IF(C450="每季",EDATE(D450,3),IF(C450="每年",EDATE(D450,12),""))))))</f>
        <v/>
      </c>
      <c r="F450" s="21">
        <f>IF(E450="","",IF(E450&lt;TODAY(),"逾期","正常"))</f>
        <v/>
      </c>
      <c r="G450" s="21" t="n"/>
      <c r="H450" s="21" t="n"/>
    </row>
    <row r="451">
      <c r="A451" s="21" t="n"/>
      <c r="B451" s="21" t="n"/>
      <c r="C451" s="21" t="n"/>
      <c r="D451" s="18" t="n"/>
      <c r="E451" s="18">
        <f>IF(D451="","",IF(C451="每日",D451+1,IF(C451="每週",D451+7,IF(C451="每月",EDATE(D451,1),IF(C451="每季",EDATE(D451,3),IF(C451="每年",EDATE(D451,12),""))))))</f>
        <v/>
      </c>
      <c r="F451" s="21">
        <f>IF(E451="","",IF(E451&lt;TODAY(),"逾期","正常"))</f>
        <v/>
      </c>
      <c r="G451" s="21" t="n"/>
      <c r="H451" s="21" t="n"/>
    </row>
    <row r="452">
      <c r="A452" s="21" t="n"/>
      <c r="B452" s="21" t="n"/>
      <c r="C452" s="21" t="n"/>
      <c r="D452" s="18" t="n"/>
      <c r="E452" s="18">
        <f>IF(D452="","",IF(C452="每日",D452+1,IF(C452="每週",D452+7,IF(C452="每月",EDATE(D452,1),IF(C452="每季",EDATE(D452,3),IF(C452="每年",EDATE(D452,12),""))))))</f>
        <v/>
      </c>
      <c r="F452" s="21">
        <f>IF(E452="","",IF(E452&lt;TODAY(),"逾期","正常"))</f>
        <v/>
      </c>
      <c r="G452" s="21" t="n"/>
      <c r="H452" s="21" t="n"/>
    </row>
    <row r="453">
      <c r="A453" s="21" t="n"/>
      <c r="B453" s="21" t="n"/>
      <c r="C453" s="21" t="n"/>
      <c r="D453" s="18" t="n"/>
      <c r="E453" s="18">
        <f>IF(D453="","",IF(C453="每日",D453+1,IF(C453="每週",D453+7,IF(C453="每月",EDATE(D453,1),IF(C453="每季",EDATE(D453,3),IF(C453="每年",EDATE(D453,12),""))))))</f>
        <v/>
      </c>
      <c r="F453" s="21">
        <f>IF(E453="","",IF(E453&lt;TODAY(),"逾期","正常"))</f>
        <v/>
      </c>
      <c r="G453" s="21" t="n"/>
      <c r="H453" s="21" t="n"/>
    </row>
    <row r="454">
      <c r="A454" s="21" t="n"/>
      <c r="B454" s="21" t="n"/>
      <c r="C454" s="21" t="n"/>
      <c r="D454" s="18" t="n"/>
      <c r="E454" s="18">
        <f>IF(D454="","",IF(C454="每日",D454+1,IF(C454="每週",D454+7,IF(C454="每月",EDATE(D454,1),IF(C454="每季",EDATE(D454,3),IF(C454="每年",EDATE(D454,12),""))))))</f>
        <v/>
      </c>
      <c r="F454" s="21">
        <f>IF(E454="","",IF(E454&lt;TODAY(),"逾期","正常"))</f>
        <v/>
      </c>
      <c r="G454" s="21" t="n"/>
      <c r="H454" s="21" t="n"/>
    </row>
    <row r="455">
      <c r="A455" s="21" t="n"/>
      <c r="B455" s="21" t="n"/>
      <c r="C455" s="21" t="n"/>
      <c r="D455" s="18" t="n"/>
      <c r="E455" s="18">
        <f>IF(D455="","",IF(C455="每日",D455+1,IF(C455="每週",D455+7,IF(C455="每月",EDATE(D455,1),IF(C455="每季",EDATE(D455,3),IF(C455="每年",EDATE(D455,12),""))))))</f>
        <v/>
      </c>
      <c r="F455" s="21">
        <f>IF(E455="","",IF(E455&lt;TODAY(),"逾期","正常"))</f>
        <v/>
      </c>
      <c r="G455" s="21" t="n"/>
      <c r="H455" s="21" t="n"/>
    </row>
    <row r="456">
      <c r="A456" s="21" t="n"/>
      <c r="B456" s="21" t="n"/>
      <c r="C456" s="21" t="n"/>
      <c r="D456" s="18" t="n"/>
      <c r="E456" s="18">
        <f>IF(D456="","",IF(C456="每日",D456+1,IF(C456="每週",D456+7,IF(C456="每月",EDATE(D456,1),IF(C456="每季",EDATE(D456,3),IF(C456="每年",EDATE(D456,12),""))))))</f>
        <v/>
      </c>
      <c r="F456" s="21">
        <f>IF(E456="","",IF(E456&lt;TODAY(),"逾期","正常"))</f>
        <v/>
      </c>
      <c r="G456" s="21" t="n"/>
      <c r="H456" s="21" t="n"/>
    </row>
    <row r="457">
      <c r="A457" s="21" t="n"/>
      <c r="B457" s="21" t="n"/>
      <c r="C457" s="21" t="n"/>
      <c r="D457" s="18" t="n"/>
      <c r="E457" s="18">
        <f>IF(D457="","",IF(C457="每日",D457+1,IF(C457="每週",D457+7,IF(C457="每月",EDATE(D457,1),IF(C457="每季",EDATE(D457,3),IF(C457="每年",EDATE(D457,12),""))))))</f>
        <v/>
      </c>
      <c r="F457" s="21">
        <f>IF(E457="","",IF(E457&lt;TODAY(),"逾期","正常"))</f>
        <v/>
      </c>
      <c r="G457" s="21" t="n"/>
      <c r="H457" s="21" t="n"/>
    </row>
    <row r="458">
      <c r="A458" s="21" t="n"/>
      <c r="B458" s="21" t="n"/>
      <c r="C458" s="21" t="n"/>
      <c r="D458" s="18" t="n"/>
      <c r="E458" s="18">
        <f>IF(D458="","",IF(C458="每日",D458+1,IF(C458="每週",D458+7,IF(C458="每月",EDATE(D458,1),IF(C458="每季",EDATE(D458,3),IF(C458="每年",EDATE(D458,12),""))))))</f>
        <v/>
      </c>
      <c r="F458" s="21">
        <f>IF(E458="","",IF(E458&lt;TODAY(),"逾期","正常"))</f>
        <v/>
      </c>
      <c r="G458" s="21" t="n"/>
      <c r="H458" s="21" t="n"/>
    </row>
    <row r="459">
      <c r="A459" s="21" t="n"/>
      <c r="B459" s="21" t="n"/>
      <c r="C459" s="21" t="n"/>
      <c r="D459" s="18" t="n"/>
      <c r="E459" s="18">
        <f>IF(D459="","",IF(C459="每日",D459+1,IF(C459="每週",D459+7,IF(C459="每月",EDATE(D459,1),IF(C459="每季",EDATE(D459,3),IF(C459="每年",EDATE(D459,12),""))))))</f>
        <v/>
      </c>
      <c r="F459" s="21">
        <f>IF(E459="","",IF(E459&lt;TODAY(),"逾期","正常"))</f>
        <v/>
      </c>
      <c r="G459" s="21" t="n"/>
      <c r="H459" s="21" t="n"/>
    </row>
    <row r="460">
      <c r="A460" s="21" t="n"/>
      <c r="B460" s="21" t="n"/>
      <c r="C460" s="21" t="n"/>
      <c r="D460" s="18" t="n"/>
      <c r="E460" s="18">
        <f>IF(D460="","",IF(C460="每日",D460+1,IF(C460="每週",D460+7,IF(C460="每月",EDATE(D460,1),IF(C460="每季",EDATE(D460,3),IF(C460="每年",EDATE(D460,12),""))))))</f>
        <v/>
      </c>
      <c r="F460" s="21">
        <f>IF(E460="","",IF(E460&lt;TODAY(),"逾期","正常"))</f>
        <v/>
      </c>
      <c r="G460" s="21" t="n"/>
      <c r="H460" s="21" t="n"/>
    </row>
    <row r="461">
      <c r="A461" s="21" t="n"/>
      <c r="B461" s="21" t="n"/>
      <c r="C461" s="21" t="n"/>
      <c r="D461" s="18" t="n"/>
      <c r="E461" s="18">
        <f>IF(D461="","",IF(C461="每日",D461+1,IF(C461="每週",D461+7,IF(C461="每月",EDATE(D461,1),IF(C461="每季",EDATE(D461,3),IF(C461="每年",EDATE(D461,12),""))))))</f>
        <v/>
      </c>
      <c r="F461" s="21">
        <f>IF(E461="","",IF(E461&lt;TODAY(),"逾期","正常"))</f>
        <v/>
      </c>
      <c r="G461" s="21" t="n"/>
      <c r="H461" s="21" t="n"/>
    </row>
    <row r="462">
      <c r="A462" s="21" t="n"/>
      <c r="B462" s="21" t="n"/>
      <c r="C462" s="21" t="n"/>
      <c r="D462" s="18" t="n"/>
      <c r="E462" s="18">
        <f>IF(D462="","",IF(C462="每日",D462+1,IF(C462="每週",D462+7,IF(C462="每月",EDATE(D462,1),IF(C462="每季",EDATE(D462,3),IF(C462="每年",EDATE(D462,12),""))))))</f>
        <v/>
      </c>
      <c r="F462" s="21">
        <f>IF(E462="","",IF(E462&lt;TODAY(),"逾期","正常"))</f>
        <v/>
      </c>
      <c r="G462" s="21" t="n"/>
      <c r="H462" s="21" t="n"/>
    </row>
    <row r="463">
      <c r="A463" s="21" t="n"/>
      <c r="B463" s="21" t="n"/>
      <c r="C463" s="21" t="n"/>
      <c r="D463" s="18" t="n"/>
      <c r="E463" s="18">
        <f>IF(D463="","",IF(C463="每日",D463+1,IF(C463="每週",D463+7,IF(C463="每月",EDATE(D463,1),IF(C463="每季",EDATE(D463,3),IF(C463="每年",EDATE(D463,12),""))))))</f>
        <v/>
      </c>
      <c r="F463" s="21">
        <f>IF(E463="","",IF(E463&lt;TODAY(),"逾期","正常"))</f>
        <v/>
      </c>
      <c r="G463" s="21" t="n"/>
      <c r="H463" s="21" t="n"/>
    </row>
    <row r="464">
      <c r="A464" s="21" t="n"/>
      <c r="B464" s="21" t="n"/>
      <c r="C464" s="21" t="n"/>
      <c r="D464" s="18" t="n"/>
      <c r="E464" s="18">
        <f>IF(D464="","",IF(C464="每日",D464+1,IF(C464="每週",D464+7,IF(C464="每月",EDATE(D464,1),IF(C464="每季",EDATE(D464,3),IF(C464="每年",EDATE(D464,12),""))))))</f>
        <v/>
      </c>
      <c r="F464" s="21">
        <f>IF(E464="","",IF(E464&lt;TODAY(),"逾期","正常"))</f>
        <v/>
      </c>
      <c r="G464" s="21" t="n"/>
      <c r="H464" s="21" t="n"/>
    </row>
    <row r="465">
      <c r="A465" s="21" t="n"/>
      <c r="B465" s="21" t="n"/>
      <c r="C465" s="21" t="n"/>
      <c r="D465" s="18" t="n"/>
      <c r="E465" s="18">
        <f>IF(D465="","",IF(C465="每日",D465+1,IF(C465="每週",D465+7,IF(C465="每月",EDATE(D465,1),IF(C465="每季",EDATE(D465,3),IF(C465="每年",EDATE(D465,12),""))))))</f>
        <v/>
      </c>
      <c r="F465" s="21">
        <f>IF(E465="","",IF(E465&lt;TODAY(),"逾期","正常"))</f>
        <v/>
      </c>
      <c r="G465" s="21" t="n"/>
      <c r="H465" s="21" t="n"/>
    </row>
    <row r="466">
      <c r="A466" s="21" t="n"/>
      <c r="B466" s="21" t="n"/>
      <c r="C466" s="21" t="n"/>
      <c r="D466" s="18" t="n"/>
      <c r="E466" s="18">
        <f>IF(D466="","",IF(C466="每日",D466+1,IF(C466="每週",D466+7,IF(C466="每月",EDATE(D466,1),IF(C466="每季",EDATE(D466,3),IF(C466="每年",EDATE(D466,12),""))))))</f>
        <v/>
      </c>
      <c r="F466" s="21">
        <f>IF(E466="","",IF(E466&lt;TODAY(),"逾期","正常"))</f>
        <v/>
      </c>
      <c r="G466" s="21" t="n"/>
      <c r="H466" s="21" t="n"/>
    </row>
    <row r="467">
      <c r="A467" s="21" t="n"/>
      <c r="B467" s="21" t="n"/>
      <c r="C467" s="21" t="n"/>
      <c r="D467" s="18" t="n"/>
      <c r="E467" s="18">
        <f>IF(D467="","",IF(C467="每日",D467+1,IF(C467="每週",D467+7,IF(C467="每月",EDATE(D467,1),IF(C467="每季",EDATE(D467,3),IF(C467="每年",EDATE(D467,12),""))))))</f>
        <v/>
      </c>
      <c r="F467" s="21">
        <f>IF(E467="","",IF(E467&lt;TODAY(),"逾期","正常"))</f>
        <v/>
      </c>
      <c r="G467" s="21" t="n"/>
      <c r="H467" s="21" t="n"/>
    </row>
    <row r="468">
      <c r="A468" s="21" t="n"/>
      <c r="B468" s="21" t="n"/>
      <c r="C468" s="21" t="n"/>
      <c r="D468" s="18" t="n"/>
      <c r="E468" s="18">
        <f>IF(D468="","",IF(C468="每日",D468+1,IF(C468="每週",D468+7,IF(C468="每月",EDATE(D468,1),IF(C468="每季",EDATE(D468,3),IF(C468="每年",EDATE(D468,12),""))))))</f>
        <v/>
      </c>
      <c r="F468" s="21">
        <f>IF(E468="","",IF(E468&lt;TODAY(),"逾期","正常"))</f>
        <v/>
      </c>
      <c r="G468" s="21" t="n"/>
      <c r="H468" s="21" t="n"/>
    </row>
    <row r="469">
      <c r="A469" s="21" t="n"/>
      <c r="B469" s="21" t="n"/>
      <c r="C469" s="21" t="n"/>
      <c r="D469" s="18" t="n"/>
      <c r="E469" s="18">
        <f>IF(D469="","",IF(C469="每日",D469+1,IF(C469="每週",D469+7,IF(C469="每月",EDATE(D469,1),IF(C469="每季",EDATE(D469,3),IF(C469="每年",EDATE(D469,12),""))))))</f>
        <v/>
      </c>
      <c r="F469" s="21">
        <f>IF(E469="","",IF(E469&lt;TODAY(),"逾期","正常"))</f>
        <v/>
      </c>
      <c r="G469" s="21" t="n"/>
      <c r="H469" s="21" t="n"/>
    </row>
    <row r="470">
      <c r="A470" s="21" t="n"/>
      <c r="B470" s="21" t="n"/>
      <c r="C470" s="21" t="n"/>
      <c r="D470" s="18" t="n"/>
      <c r="E470" s="18">
        <f>IF(D470="","",IF(C470="每日",D470+1,IF(C470="每週",D470+7,IF(C470="每月",EDATE(D470,1),IF(C470="每季",EDATE(D470,3),IF(C470="每年",EDATE(D470,12),""))))))</f>
        <v/>
      </c>
      <c r="F470" s="21">
        <f>IF(E470="","",IF(E470&lt;TODAY(),"逾期","正常"))</f>
        <v/>
      </c>
      <c r="G470" s="21" t="n"/>
      <c r="H470" s="21" t="n"/>
    </row>
    <row r="471">
      <c r="A471" s="21" t="n"/>
      <c r="B471" s="21" t="n"/>
      <c r="C471" s="21" t="n"/>
      <c r="D471" s="18" t="n"/>
      <c r="E471" s="18">
        <f>IF(D471="","",IF(C471="每日",D471+1,IF(C471="每週",D471+7,IF(C471="每月",EDATE(D471,1),IF(C471="每季",EDATE(D471,3),IF(C471="每年",EDATE(D471,12),""))))))</f>
        <v/>
      </c>
      <c r="F471" s="21">
        <f>IF(E471="","",IF(E471&lt;TODAY(),"逾期","正常"))</f>
        <v/>
      </c>
      <c r="G471" s="21" t="n"/>
      <c r="H471" s="21" t="n"/>
    </row>
    <row r="472">
      <c r="A472" s="21" t="n"/>
      <c r="B472" s="21" t="n"/>
      <c r="C472" s="21" t="n"/>
      <c r="D472" s="18" t="n"/>
      <c r="E472" s="18">
        <f>IF(D472="","",IF(C472="每日",D472+1,IF(C472="每週",D472+7,IF(C472="每月",EDATE(D472,1),IF(C472="每季",EDATE(D472,3),IF(C472="每年",EDATE(D472,12),""))))))</f>
        <v/>
      </c>
      <c r="F472" s="21">
        <f>IF(E472="","",IF(E472&lt;TODAY(),"逾期","正常"))</f>
        <v/>
      </c>
      <c r="G472" s="21" t="n"/>
      <c r="H472" s="21" t="n"/>
    </row>
    <row r="473">
      <c r="A473" s="21" t="n"/>
      <c r="B473" s="21" t="n"/>
      <c r="C473" s="21" t="n"/>
      <c r="D473" s="18" t="n"/>
      <c r="E473" s="18">
        <f>IF(D473="","",IF(C473="每日",D473+1,IF(C473="每週",D473+7,IF(C473="每月",EDATE(D473,1),IF(C473="每季",EDATE(D473,3),IF(C473="每年",EDATE(D473,12),""))))))</f>
        <v/>
      </c>
      <c r="F473" s="21">
        <f>IF(E473="","",IF(E473&lt;TODAY(),"逾期","正常"))</f>
        <v/>
      </c>
      <c r="G473" s="21" t="n"/>
      <c r="H473" s="21" t="n"/>
    </row>
    <row r="474">
      <c r="A474" s="21" t="n"/>
      <c r="B474" s="21" t="n"/>
      <c r="C474" s="21" t="n"/>
      <c r="D474" s="18" t="n"/>
      <c r="E474" s="18">
        <f>IF(D474="","",IF(C474="每日",D474+1,IF(C474="每週",D474+7,IF(C474="每月",EDATE(D474,1),IF(C474="每季",EDATE(D474,3),IF(C474="每年",EDATE(D474,12),""))))))</f>
        <v/>
      </c>
      <c r="F474" s="21">
        <f>IF(E474="","",IF(E474&lt;TODAY(),"逾期","正常"))</f>
        <v/>
      </c>
      <c r="G474" s="21" t="n"/>
      <c r="H474" s="21" t="n"/>
    </row>
    <row r="475">
      <c r="A475" s="21" t="n"/>
      <c r="B475" s="21" t="n"/>
      <c r="C475" s="21" t="n"/>
      <c r="D475" s="18" t="n"/>
      <c r="E475" s="18">
        <f>IF(D475="","",IF(C475="每日",D475+1,IF(C475="每週",D475+7,IF(C475="每月",EDATE(D475,1),IF(C475="每季",EDATE(D475,3),IF(C475="每年",EDATE(D475,12),""))))))</f>
        <v/>
      </c>
      <c r="F475" s="21">
        <f>IF(E475="","",IF(E475&lt;TODAY(),"逾期","正常"))</f>
        <v/>
      </c>
      <c r="G475" s="21" t="n"/>
      <c r="H475" s="21" t="n"/>
    </row>
    <row r="476">
      <c r="A476" s="21" t="n"/>
      <c r="B476" s="21" t="n"/>
      <c r="C476" s="21" t="n"/>
      <c r="D476" s="18" t="n"/>
      <c r="E476" s="18">
        <f>IF(D476="","",IF(C476="每日",D476+1,IF(C476="每週",D476+7,IF(C476="每月",EDATE(D476,1),IF(C476="每季",EDATE(D476,3),IF(C476="每年",EDATE(D476,12),""))))))</f>
        <v/>
      </c>
      <c r="F476" s="21">
        <f>IF(E476="","",IF(E476&lt;TODAY(),"逾期","正常"))</f>
        <v/>
      </c>
      <c r="G476" s="21" t="n"/>
      <c r="H476" s="21" t="n"/>
    </row>
    <row r="477">
      <c r="A477" s="21" t="n"/>
      <c r="B477" s="21" t="n"/>
      <c r="C477" s="21" t="n"/>
      <c r="D477" s="18" t="n"/>
      <c r="E477" s="18">
        <f>IF(D477="","",IF(C477="每日",D477+1,IF(C477="每週",D477+7,IF(C477="每月",EDATE(D477,1),IF(C477="每季",EDATE(D477,3),IF(C477="每年",EDATE(D477,12),""))))))</f>
        <v/>
      </c>
      <c r="F477" s="21">
        <f>IF(E477="","",IF(E477&lt;TODAY(),"逾期","正常"))</f>
        <v/>
      </c>
      <c r="G477" s="21" t="n"/>
      <c r="H477" s="21" t="n"/>
    </row>
    <row r="478">
      <c r="A478" s="21" t="n"/>
      <c r="B478" s="21" t="n"/>
      <c r="C478" s="21" t="n"/>
      <c r="D478" s="18" t="n"/>
      <c r="E478" s="18">
        <f>IF(D478="","",IF(C478="每日",D478+1,IF(C478="每週",D478+7,IF(C478="每月",EDATE(D478,1),IF(C478="每季",EDATE(D478,3),IF(C478="每年",EDATE(D478,12),""))))))</f>
        <v/>
      </c>
      <c r="F478" s="21">
        <f>IF(E478="","",IF(E478&lt;TODAY(),"逾期","正常"))</f>
        <v/>
      </c>
      <c r="G478" s="21" t="n"/>
      <c r="H478" s="21" t="n"/>
    </row>
    <row r="479">
      <c r="A479" s="21" t="n"/>
      <c r="B479" s="21" t="n"/>
      <c r="C479" s="21" t="n"/>
      <c r="D479" s="18" t="n"/>
      <c r="E479" s="18">
        <f>IF(D479="","",IF(C479="每日",D479+1,IF(C479="每週",D479+7,IF(C479="每月",EDATE(D479,1),IF(C479="每季",EDATE(D479,3),IF(C479="每年",EDATE(D479,12),""))))))</f>
        <v/>
      </c>
      <c r="F479" s="21">
        <f>IF(E479="","",IF(E479&lt;TODAY(),"逾期","正常"))</f>
        <v/>
      </c>
      <c r="G479" s="21" t="n"/>
      <c r="H479" s="21" t="n"/>
    </row>
    <row r="480">
      <c r="A480" s="21" t="n"/>
      <c r="B480" s="21" t="n"/>
      <c r="C480" s="21" t="n"/>
      <c r="D480" s="18" t="n"/>
      <c r="E480" s="18">
        <f>IF(D480="","",IF(C480="每日",D480+1,IF(C480="每週",D480+7,IF(C480="每月",EDATE(D480,1),IF(C480="每季",EDATE(D480,3),IF(C480="每年",EDATE(D480,12),""))))))</f>
        <v/>
      </c>
      <c r="F480" s="21">
        <f>IF(E480="","",IF(E480&lt;TODAY(),"逾期","正常"))</f>
        <v/>
      </c>
      <c r="G480" s="21" t="n"/>
      <c r="H480" s="21" t="n"/>
    </row>
    <row r="481">
      <c r="A481" s="21" t="n"/>
      <c r="B481" s="21" t="n"/>
      <c r="C481" s="21" t="n"/>
      <c r="D481" s="18" t="n"/>
      <c r="E481" s="18">
        <f>IF(D481="","",IF(C481="每日",D481+1,IF(C481="每週",D481+7,IF(C481="每月",EDATE(D481,1),IF(C481="每季",EDATE(D481,3),IF(C481="每年",EDATE(D481,12),""))))))</f>
        <v/>
      </c>
      <c r="F481" s="21">
        <f>IF(E481="","",IF(E481&lt;TODAY(),"逾期","正常"))</f>
        <v/>
      </c>
      <c r="G481" s="21" t="n"/>
      <c r="H481" s="21" t="n"/>
    </row>
    <row r="482">
      <c r="A482" s="21" t="n"/>
      <c r="B482" s="21" t="n"/>
      <c r="C482" s="21" t="n"/>
      <c r="D482" s="18" t="n"/>
      <c r="E482" s="18">
        <f>IF(D482="","",IF(C482="每日",D482+1,IF(C482="每週",D482+7,IF(C482="每月",EDATE(D482,1),IF(C482="每季",EDATE(D482,3),IF(C482="每年",EDATE(D482,12),""))))))</f>
        <v/>
      </c>
      <c r="F482" s="21">
        <f>IF(E482="","",IF(E482&lt;TODAY(),"逾期","正常"))</f>
        <v/>
      </c>
      <c r="G482" s="21" t="n"/>
      <c r="H482" s="21" t="n"/>
    </row>
    <row r="483">
      <c r="A483" s="21" t="n"/>
      <c r="B483" s="21" t="n"/>
      <c r="C483" s="21" t="n"/>
      <c r="D483" s="18" t="n"/>
      <c r="E483" s="18">
        <f>IF(D483="","",IF(C483="每日",D483+1,IF(C483="每週",D483+7,IF(C483="每月",EDATE(D483,1),IF(C483="每季",EDATE(D483,3),IF(C483="每年",EDATE(D483,12),""))))))</f>
        <v/>
      </c>
      <c r="F483" s="21">
        <f>IF(E483="","",IF(E483&lt;TODAY(),"逾期","正常"))</f>
        <v/>
      </c>
      <c r="G483" s="21" t="n"/>
      <c r="H483" s="21" t="n"/>
    </row>
    <row r="484">
      <c r="A484" s="21" t="n"/>
      <c r="B484" s="21" t="n"/>
      <c r="C484" s="21" t="n"/>
      <c r="D484" s="18" t="n"/>
      <c r="E484" s="18">
        <f>IF(D484="","",IF(C484="每日",D484+1,IF(C484="每週",D484+7,IF(C484="每月",EDATE(D484,1),IF(C484="每季",EDATE(D484,3),IF(C484="每年",EDATE(D484,12),""))))))</f>
        <v/>
      </c>
      <c r="F484" s="21">
        <f>IF(E484="","",IF(E484&lt;TODAY(),"逾期","正常"))</f>
        <v/>
      </c>
      <c r="G484" s="21" t="n"/>
      <c r="H484" s="21" t="n"/>
    </row>
    <row r="485">
      <c r="A485" s="21" t="n"/>
      <c r="B485" s="21" t="n"/>
      <c r="C485" s="21" t="n"/>
      <c r="D485" s="18" t="n"/>
      <c r="E485" s="18">
        <f>IF(D485="","",IF(C485="每日",D485+1,IF(C485="每週",D485+7,IF(C485="每月",EDATE(D485,1),IF(C485="每季",EDATE(D485,3),IF(C485="每年",EDATE(D485,12),""))))))</f>
        <v/>
      </c>
      <c r="F485" s="21">
        <f>IF(E485="","",IF(E485&lt;TODAY(),"逾期","正常"))</f>
        <v/>
      </c>
      <c r="G485" s="21" t="n"/>
      <c r="H485" s="21" t="n"/>
    </row>
    <row r="486">
      <c r="A486" s="21" t="n"/>
      <c r="B486" s="21" t="n"/>
      <c r="C486" s="21" t="n"/>
      <c r="D486" s="18" t="n"/>
      <c r="E486" s="18">
        <f>IF(D486="","",IF(C486="每日",D486+1,IF(C486="每週",D486+7,IF(C486="每月",EDATE(D486,1),IF(C486="每季",EDATE(D486,3),IF(C486="每年",EDATE(D486,12),""))))))</f>
        <v/>
      </c>
      <c r="F486" s="21">
        <f>IF(E486="","",IF(E486&lt;TODAY(),"逾期","正常"))</f>
        <v/>
      </c>
      <c r="G486" s="21" t="n"/>
      <c r="H486" s="21" t="n"/>
    </row>
    <row r="487">
      <c r="A487" s="21" t="n"/>
      <c r="B487" s="21" t="n"/>
      <c r="C487" s="21" t="n"/>
      <c r="D487" s="18" t="n"/>
      <c r="E487" s="18">
        <f>IF(D487="","",IF(C487="每日",D487+1,IF(C487="每週",D487+7,IF(C487="每月",EDATE(D487,1),IF(C487="每季",EDATE(D487,3),IF(C487="每年",EDATE(D487,12),""))))))</f>
        <v/>
      </c>
      <c r="F487" s="21">
        <f>IF(E487="","",IF(E487&lt;TODAY(),"逾期","正常"))</f>
        <v/>
      </c>
      <c r="G487" s="21" t="n"/>
      <c r="H487" s="21" t="n"/>
    </row>
    <row r="488">
      <c r="A488" s="21" t="n"/>
      <c r="B488" s="21" t="n"/>
      <c r="C488" s="21" t="n"/>
      <c r="D488" s="18" t="n"/>
      <c r="E488" s="18">
        <f>IF(D488="","",IF(C488="每日",D488+1,IF(C488="每週",D488+7,IF(C488="每月",EDATE(D488,1),IF(C488="每季",EDATE(D488,3),IF(C488="每年",EDATE(D488,12),""))))))</f>
        <v/>
      </c>
      <c r="F488" s="21">
        <f>IF(E488="","",IF(E488&lt;TODAY(),"逾期","正常"))</f>
        <v/>
      </c>
      <c r="G488" s="21" t="n"/>
      <c r="H488" s="21" t="n"/>
    </row>
    <row r="489">
      <c r="A489" s="21" t="n"/>
      <c r="B489" s="21" t="n"/>
      <c r="C489" s="21" t="n"/>
      <c r="D489" s="18" t="n"/>
      <c r="E489" s="18">
        <f>IF(D489="","",IF(C489="每日",D489+1,IF(C489="每週",D489+7,IF(C489="每月",EDATE(D489,1),IF(C489="每季",EDATE(D489,3),IF(C489="每年",EDATE(D489,12),""))))))</f>
        <v/>
      </c>
      <c r="F489" s="21">
        <f>IF(E489="","",IF(E489&lt;TODAY(),"逾期","正常"))</f>
        <v/>
      </c>
      <c r="G489" s="21" t="n"/>
      <c r="H489" s="21" t="n"/>
    </row>
    <row r="490">
      <c r="A490" s="21" t="n"/>
      <c r="B490" s="21" t="n"/>
      <c r="C490" s="21" t="n"/>
      <c r="D490" s="18" t="n"/>
      <c r="E490" s="18">
        <f>IF(D490="","",IF(C490="每日",D490+1,IF(C490="每週",D490+7,IF(C490="每月",EDATE(D490,1),IF(C490="每季",EDATE(D490,3),IF(C490="每年",EDATE(D490,12),""))))))</f>
        <v/>
      </c>
      <c r="F490" s="21">
        <f>IF(E490="","",IF(E490&lt;TODAY(),"逾期","正常"))</f>
        <v/>
      </c>
      <c r="G490" s="21" t="n"/>
      <c r="H490" s="21" t="n"/>
    </row>
    <row r="491">
      <c r="A491" s="21" t="n"/>
      <c r="B491" s="21" t="n"/>
      <c r="C491" s="21" t="n"/>
      <c r="D491" s="18" t="n"/>
      <c r="E491" s="18">
        <f>IF(D491="","",IF(C491="每日",D491+1,IF(C491="每週",D491+7,IF(C491="每月",EDATE(D491,1),IF(C491="每季",EDATE(D491,3),IF(C491="每年",EDATE(D491,12),""))))))</f>
        <v/>
      </c>
      <c r="F491" s="21">
        <f>IF(E491="","",IF(E491&lt;TODAY(),"逾期","正常"))</f>
        <v/>
      </c>
      <c r="G491" s="21" t="n"/>
      <c r="H491" s="21" t="n"/>
    </row>
    <row r="492">
      <c r="A492" s="21" t="n"/>
      <c r="B492" s="21" t="n"/>
      <c r="C492" s="21" t="n"/>
      <c r="D492" s="18" t="n"/>
      <c r="E492" s="18">
        <f>IF(D492="","",IF(C492="每日",D492+1,IF(C492="每週",D492+7,IF(C492="每月",EDATE(D492,1),IF(C492="每季",EDATE(D492,3),IF(C492="每年",EDATE(D492,12),""))))))</f>
        <v/>
      </c>
      <c r="F492" s="21">
        <f>IF(E492="","",IF(E492&lt;TODAY(),"逾期","正常"))</f>
        <v/>
      </c>
      <c r="G492" s="21" t="n"/>
      <c r="H492" s="21" t="n"/>
    </row>
    <row r="493">
      <c r="A493" s="21" t="n"/>
      <c r="B493" s="21" t="n"/>
      <c r="C493" s="21" t="n"/>
      <c r="D493" s="18" t="n"/>
      <c r="E493" s="18">
        <f>IF(D493="","",IF(C493="每日",D493+1,IF(C493="每週",D493+7,IF(C493="每月",EDATE(D493,1),IF(C493="每季",EDATE(D493,3),IF(C493="每年",EDATE(D493,12),""))))))</f>
        <v/>
      </c>
      <c r="F493" s="21">
        <f>IF(E493="","",IF(E493&lt;TODAY(),"逾期","正常"))</f>
        <v/>
      </c>
      <c r="G493" s="21" t="n"/>
      <c r="H493" s="21" t="n"/>
    </row>
    <row r="494">
      <c r="A494" s="21" t="n"/>
      <c r="B494" s="21" t="n"/>
      <c r="C494" s="21" t="n"/>
      <c r="D494" s="18" t="n"/>
      <c r="E494" s="18">
        <f>IF(D494="","",IF(C494="每日",D494+1,IF(C494="每週",D494+7,IF(C494="每月",EDATE(D494,1),IF(C494="每季",EDATE(D494,3),IF(C494="每年",EDATE(D494,12),""))))))</f>
        <v/>
      </c>
      <c r="F494" s="21">
        <f>IF(E494="","",IF(E494&lt;TODAY(),"逾期","正常"))</f>
        <v/>
      </c>
      <c r="G494" s="21" t="n"/>
      <c r="H494" s="21" t="n"/>
    </row>
    <row r="495">
      <c r="A495" s="21" t="n"/>
      <c r="B495" s="21" t="n"/>
      <c r="C495" s="21" t="n"/>
      <c r="D495" s="18" t="n"/>
      <c r="E495" s="18">
        <f>IF(D495="","",IF(C495="每日",D495+1,IF(C495="每週",D495+7,IF(C495="每月",EDATE(D495,1),IF(C495="每季",EDATE(D495,3),IF(C495="每年",EDATE(D495,12),""))))))</f>
        <v/>
      </c>
      <c r="F495" s="21">
        <f>IF(E495="","",IF(E495&lt;TODAY(),"逾期","正常"))</f>
        <v/>
      </c>
      <c r="G495" s="21" t="n"/>
      <c r="H495" s="21" t="n"/>
    </row>
    <row r="496">
      <c r="A496" s="21" t="n"/>
      <c r="B496" s="21" t="n"/>
      <c r="C496" s="21" t="n"/>
      <c r="D496" s="18" t="n"/>
      <c r="E496" s="18">
        <f>IF(D496="","",IF(C496="每日",D496+1,IF(C496="每週",D496+7,IF(C496="每月",EDATE(D496,1),IF(C496="每季",EDATE(D496,3),IF(C496="每年",EDATE(D496,12),""))))))</f>
        <v/>
      </c>
      <c r="F496" s="21">
        <f>IF(E496="","",IF(E496&lt;TODAY(),"逾期","正常"))</f>
        <v/>
      </c>
      <c r="G496" s="21" t="n"/>
      <c r="H496" s="21" t="n"/>
    </row>
    <row r="497">
      <c r="A497" s="21" t="n"/>
      <c r="B497" s="21" t="n"/>
      <c r="C497" s="21" t="n"/>
      <c r="D497" s="18" t="n"/>
      <c r="E497" s="18">
        <f>IF(D497="","",IF(C497="每日",D497+1,IF(C497="每週",D497+7,IF(C497="每月",EDATE(D497,1),IF(C497="每季",EDATE(D497,3),IF(C497="每年",EDATE(D497,12),""))))))</f>
        <v/>
      </c>
      <c r="F497" s="21">
        <f>IF(E497="","",IF(E497&lt;TODAY(),"逾期","正常"))</f>
        <v/>
      </c>
      <c r="G497" s="21" t="n"/>
      <c r="H497" s="21" t="n"/>
    </row>
    <row r="498">
      <c r="A498" s="21" t="n"/>
      <c r="B498" s="21" t="n"/>
      <c r="C498" s="21" t="n"/>
      <c r="D498" s="18" t="n"/>
      <c r="E498" s="18">
        <f>IF(D498="","",IF(C498="每日",D498+1,IF(C498="每週",D498+7,IF(C498="每月",EDATE(D498,1),IF(C498="每季",EDATE(D498,3),IF(C498="每年",EDATE(D498,12),""))))))</f>
        <v/>
      </c>
      <c r="F498" s="21">
        <f>IF(E498="","",IF(E498&lt;TODAY(),"逾期","正常"))</f>
        <v/>
      </c>
      <c r="G498" s="21" t="n"/>
      <c r="H498" s="21" t="n"/>
    </row>
    <row r="499">
      <c r="A499" s="21" t="n"/>
      <c r="B499" s="21" t="n"/>
      <c r="C499" s="21" t="n"/>
      <c r="D499" s="18" t="n"/>
      <c r="E499" s="18">
        <f>IF(D499="","",IF(C499="每日",D499+1,IF(C499="每週",D499+7,IF(C499="每月",EDATE(D499,1),IF(C499="每季",EDATE(D499,3),IF(C499="每年",EDATE(D499,12),""))))))</f>
        <v/>
      </c>
      <c r="F499" s="21">
        <f>IF(E499="","",IF(E499&lt;TODAY(),"逾期","正常"))</f>
        <v/>
      </c>
      <c r="G499" s="21" t="n"/>
      <c r="H499" s="21" t="n"/>
    </row>
    <row r="500">
      <c r="A500" s="21" t="n"/>
      <c r="B500" s="21" t="n"/>
      <c r="C500" s="21" t="n"/>
      <c r="D500" s="18" t="n"/>
      <c r="E500" s="18">
        <f>IF(D500="","",IF(C500="每日",D500+1,IF(C500="每週",D500+7,IF(C500="每月",EDATE(D500,1),IF(C500="每季",EDATE(D500,3),IF(C500="每年",EDATE(D500,12),""))))))</f>
        <v/>
      </c>
      <c r="F500" s="21">
        <f>IF(E500="","",IF(E500&lt;TODAY(),"逾期","正常"))</f>
        <v/>
      </c>
      <c r="G500" s="21" t="n"/>
      <c r="H500" s="21" t="n"/>
    </row>
    <row r="501">
      <c r="A501" s="21" t="n"/>
      <c r="B501" s="21" t="n"/>
      <c r="C501" s="21" t="n"/>
      <c r="D501" s="18" t="n"/>
      <c r="E501" s="18">
        <f>IF(D501="","",IF(C501="每日",D501+1,IF(C501="每週",D501+7,IF(C501="每月",EDATE(D501,1),IF(C501="每季",EDATE(D501,3),IF(C501="每年",EDATE(D501,12),""))))))</f>
        <v/>
      </c>
      <c r="F501" s="21">
        <f>IF(E501="","",IF(E501&lt;TODAY(),"逾期","正常"))</f>
        <v/>
      </c>
      <c r="G501" s="21" t="n"/>
      <c r="H501" s="21" t="n"/>
    </row>
    <row r="502">
      <c r="A502" s="21" t="n"/>
      <c r="B502" s="21" t="n"/>
      <c r="C502" s="21" t="n"/>
      <c r="D502" s="18" t="n"/>
      <c r="E502" s="18">
        <f>IF(D502="","",IF(C502="每日",D502+1,IF(C502="每週",D502+7,IF(C502="每月",EDATE(D502,1),IF(C502="每季",EDATE(D502,3),IF(C502="每年",EDATE(D502,12),""))))))</f>
        <v/>
      </c>
      <c r="F502" s="21">
        <f>IF(E502="","",IF(E502&lt;TODAY(),"逾期","正常"))</f>
        <v/>
      </c>
      <c r="G502" s="21" t="n"/>
      <c r="H502" s="21" t="n"/>
    </row>
    <row r="503">
      <c r="A503" s="21" t="n"/>
      <c r="B503" s="21" t="n"/>
      <c r="C503" s="21" t="n"/>
      <c r="D503" s="18" t="n"/>
      <c r="E503" s="18">
        <f>IF(D503="","",IF(C503="每日",D503+1,IF(C503="每週",D503+7,IF(C503="每月",EDATE(D503,1),IF(C503="每季",EDATE(D503,3),IF(C503="每年",EDATE(D503,12),""))))))</f>
        <v/>
      </c>
      <c r="F503" s="21">
        <f>IF(E503="","",IF(E503&lt;TODAY(),"逾期","正常"))</f>
        <v/>
      </c>
      <c r="G503" s="21" t="n"/>
      <c r="H503" s="21" t="n"/>
    </row>
    <row r="504">
      <c r="A504" s="21" t="n"/>
      <c r="B504" s="21" t="n"/>
      <c r="C504" s="21" t="n"/>
      <c r="D504" s="18" t="n"/>
      <c r="E504" s="18">
        <f>IF(D504="","",IF(C504="每日",D504+1,IF(C504="每週",D504+7,IF(C504="每月",EDATE(D504,1),IF(C504="每季",EDATE(D504,3),IF(C504="每年",EDATE(D504,12),""))))))</f>
        <v/>
      </c>
      <c r="F504" s="21">
        <f>IF(E504="","",IF(E504&lt;TODAY(),"逾期","正常"))</f>
        <v/>
      </c>
      <c r="G504" s="21" t="n"/>
      <c r="H504" s="21" t="n"/>
    </row>
    <row r="505">
      <c r="A505" s="21" t="n"/>
      <c r="B505" s="21" t="n"/>
      <c r="C505" s="21" t="n"/>
      <c r="D505" s="18" t="n"/>
      <c r="E505" s="18">
        <f>IF(D505="","",IF(C505="每日",D505+1,IF(C505="每週",D505+7,IF(C505="每月",EDATE(D505,1),IF(C505="每季",EDATE(D505,3),IF(C505="每年",EDATE(D505,12),""))))))</f>
        <v/>
      </c>
      <c r="F505" s="21">
        <f>IF(E505="","",IF(E505&lt;TODAY(),"逾期","正常"))</f>
        <v/>
      </c>
      <c r="G505" s="21" t="n"/>
      <c r="H505" s="21" t="n"/>
    </row>
  </sheetData>
  <mergeCells count="1">
    <mergeCell ref="A1:H1"/>
  </mergeCells>
  <conditionalFormatting sqref="A6:H505">
    <cfRule type="expression" priority="1" dxfId="1">
      <formula>$F6="逾期"</formula>
    </cfRule>
    <cfRule type="expression" priority="2" dxfId="2">
      <formula>$G6="完成"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2026-01-30T00:16:52Z</dcterms:created>
  <dcterms:modified xmlns:dcterms="http://purl.org/dc/terms/" xmlns:xsi="http://www.w3.org/2001/XMLSchema-instance" xsi:type="dcterms:W3CDTF">2026-01-30T00:16:53Z</dcterms:modified>
</cp:coreProperties>
</file>